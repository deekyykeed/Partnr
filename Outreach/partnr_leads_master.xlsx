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Leads" sheetId="1" state="visible" r:id="rId3"/>
    <sheet name="Kitwe" sheetId="2" state="visible" r:id="rId4"/>
    <sheet name="Lusaka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<sst xmlns="http://schemas.openxmlformats.org/spreadsheetml/2006/main" count="1689" uniqueCount="504">
  <si>
    <t xml:space="preserve">#</t>
  </si>
  <si>
    <t xml:space="preserve">Business Name</t>
  </si>
  <si>
    <t xml:space="preserve">Category</t>
  </si>
  <si>
    <t xml:space="preserve">Email</t>
  </si>
  <si>
    <t xml:space="preserve">Phone</t>
  </si>
  <si>
    <t xml:space="preserve">Website</t>
  </si>
  <si>
    <t xml:space="preserve">City</t>
  </si>
  <si>
    <t xml:space="preserve">Rating</t>
  </si>
  <si>
    <t xml:space="preserve">Status</t>
  </si>
  <si>
    <t xml:space="preserve">Notes</t>
  </si>
  <si>
    <t xml:space="preserve">African Mining Consultants (AMC)</t>
  </si>
  <si>
    <t xml:space="preserve">Corporate / Consulting</t>
  </si>
  <si>
    <t xml:space="preserve">info@amc-africa.com</t>
  </si>
  <si>
    <t xml:space="preserve">+260 212 211 108</t>
  </si>
  <si>
    <t xml:space="preserve">http://amc-africa.com/</t>
  </si>
  <si>
    <t xml:space="preserve">Kitwe</t>
  </si>
  <si>
    <t xml:space="preserve">Active Deal 🤝</t>
  </si>
  <si>
    <t xml:space="preserve">Edwin Mukonka (GM) replied 24 Mar. Calls: 1 Apr &amp; 2 Apr 2026. Website concept in progress.</t>
  </si>
  <si>
    <t xml:space="preserve">Meltcast Engineering Ltd.</t>
  </si>
  <si>
    <t xml:space="preserve">Engineering</t>
  </si>
  <si>
    <t xml:space="preserve">info@meltcasteng.com</t>
  </si>
  <si>
    <t xml:space="preserve">+260 96 6786244</t>
  </si>
  <si>
    <t xml:space="preserve">http://www.meltcasteng.com/</t>
  </si>
  <si>
    <t xml:space="preserve">Sent 📤</t>
  </si>
  <si>
    <t xml:space="preserve">ECB Legal Practitioners</t>
  </si>
  <si>
    <t xml:space="preserve">Law Firm</t>
  </si>
  <si>
    <t xml:space="preserve">info@ecb.co.zm</t>
  </si>
  <si>
    <t xml:space="preserve">+260 212 227 536</t>
  </si>
  <si>
    <t xml:space="preserve">https://www.ecblp.com/</t>
  </si>
  <si>
    <t xml:space="preserve">S Lumba &amp; Co</t>
  </si>
  <si>
    <t xml:space="preserve">Accounting Firm</t>
  </si>
  <si>
    <t xml:space="preserve">silaslumba@gmail.com</t>
  </si>
  <si>
    <t xml:space="preserve">+260 96 6906073</t>
  </si>
  <si>
    <t xml:space="preserve">https://slumbaandco.godaddysites.com/</t>
  </si>
  <si>
    <t xml:space="preserve">–</t>
  </si>
  <si>
    <t xml:space="preserve">HLB Zambia</t>
  </si>
  <si>
    <t xml:space="preserve">info@hlb.co.zm</t>
  </si>
  <si>
    <t xml:space="preserve">+260 95 6097962</t>
  </si>
  <si>
    <t xml:space="preserve">https://www.hlb.co.zm/</t>
  </si>
  <si>
    <t xml:space="preserve">Copperbelt Katanga Mining</t>
  </si>
  <si>
    <t xml:space="preserve">Mining Company</t>
  </si>
  <si>
    <t xml:space="preserve">info@copperbeltkatangamining.com</t>
  </si>
  <si>
    <t xml:space="preserve">+243 991 762 231</t>
  </si>
  <si>
    <t xml:space="preserve">https://copperbeltkatangamining.com/</t>
  </si>
  <si>
    <t xml:space="preserve">Not Contacted</t>
  </si>
  <si>
    <t xml:space="preserve">Techfields Limited</t>
  </si>
  <si>
    <t xml:space="preserve">Industrial Equipment</t>
  </si>
  <si>
    <t xml:space="preserve">sales@techfields.co.zm</t>
  </si>
  <si>
    <t xml:space="preserve">+260 212 221 300</t>
  </si>
  <si>
    <t xml:space="preserve">http://www.techfields.co.zm/</t>
  </si>
  <si>
    <t xml:space="preserve">MEDALIFT CONSTRUCTION COMPANY</t>
  </si>
  <si>
    <t xml:space="preserve">Construction</t>
  </si>
  <si>
    <t xml:space="preserve">medaliftcompanylimited@gmail.com</t>
  </si>
  <si>
    <t xml:space="preserve">+260 96 4855869</t>
  </si>
  <si>
    <t xml:space="preserve">https://65c2a1d92807c.site123.me/</t>
  </si>
  <si>
    <t xml:space="preserve">EUMISE ENGINEERING LTD</t>
  </si>
  <si>
    <t xml:space="preserve">sales@eumiseengineering.com</t>
  </si>
  <si>
    <t xml:space="preserve">+260 77 0651381</t>
  </si>
  <si>
    <t xml:space="preserve">https://www.eumiseengineering.com/</t>
  </si>
  <si>
    <t xml:space="preserve">Kitwe Processing</t>
  </si>
  <si>
    <t xml:space="preserve">Manufacturing</t>
  </si>
  <si>
    <t xml:space="preserve">sales@kitweprocessing.com</t>
  </si>
  <si>
    <t xml:space="preserve">+260 212 225 643</t>
  </si>
  <si>
    <t xml:space="preserve">http://kitweprocessing.com/</t>
  </si>
  <si>
    <t xml:space="preserve">Repro Limited</t>
  </si>
  <si>
    <t xml:space="preserve">Office Equipment</t>
  </si>
  <si>
    <t xml:space="preserve">info@repro.co.zm</t>
  </si>
  <si>
    <t xml:space="preserve">+260 96 6950262</t>
  </si>
  <si>
    <t xml:space="preserve">http://www.repro.co.zm/</t>
  </si>
  <si>
    <t xml:space="preserve">ICYPEED Logistics Kitwe</t>
  </si>
  <si>
    <t xml:space="preserve">Logistics</t>
  </si>
  <si>
    <t xml:space="preserve">info@icypeed.com</t>
  </si>
  <si>
    <t xml:space="preserve">+260 96 9263927</t>
  </si>
  <si>
    <t xml:space="preserve">https://icypeed.com/</t>
  </si>
  <si>
    <t xml:space="preserve">Fast Logistics Kitwe</t>
  </si>
  <si>
    <t xml:space="preserve">info@fastlogisticscargo.com</t>
  </si>
  <si>
    <t xml:space="preserve">+260 212 222 090</t>
  </si>
  <si>
    <t xml:space="preserve">http://www.fastlogisticscargo.com/</t>
  </si>
  <si>
    <t xml:space="preserve">FY Cargo Kitwe</t>
  </si>
  <si>
    <t xml:space="preserve">Shipping</t>
  </si>
  <si>
    <t xml:space="preserve">service@fycargo.com</t>
  </si>
  <si>
    <t xml:space="preserve">+260 76 0580840</t>
  </si>
  <si>
    <t xml:space="preserve">http://www.fycargo.com/</t>
  </si>
  <si>
    <t xml:space="preserve">Mercury Logistics</t>
  </si>
  <si>
    <t xml:space="preserve">enquiries@mercury.co.zm</t>
  </si>
  <si>
    <t xml:space="preserve">https://www.mercury.co.zm/</t>
  </si>
  <si>
    <t xml:space="preserve">Cargo Management &amp; Logistics Zambia</t>
  </si>
  <si>
    <t xml:space="preserve">info@cmlzambia.co.zm</t>
  </si>
  <si>
    <t xml:space="preserve">+260 96 6999227</t>
  </si>
  <si>
    <t xml:space="preserve">http://www.cml-ltd.co.uk/</t>
  </si>
  <si>
    <t xml:space="preserve">Electrical Instrumentation Services LTD</t>
  </si>
  <si>
    <t xml:space="preserve">Engineering / Equipment</t>
  </si>
  <si>
    <t xml:space="preserve">kitwe@eml-eis.com</t>
  </si>
  <si>
    <t xml:space="preserve">+260 95 5228077</t>
  </si>
  <si>
    <t xml:space="preserve">http://www.eml-eis.com/</t>
  </si>
  <si>
    <t xml:space="preserve">Aaron Shaw Property Consultants</t>
  </si>
  <si>
    <t xml:space="preserve">Property Consulting</t>
  </si>
  <si>
    <t xml:space="preserve">info@AaronShawProperties.com</t>
  </si>
  <si>
    <t xml:space="preserve">+260 96 7931510</t>
  </si>
  <si>
    <t xml:space="preserve">http://www.aaronshawproperties.com/</t>
  </si>
  <si>
    <t xml:space="preserve">Weighgrid Company Limited</t>
  </si>
  <si>
    <t xml:space="preserve">Equipment Supplier</t>
  </si>
  <si>
    <t xml:space="preserve">sales@weighgrid.com</t>
  </si>
  <si>
    <t xml:space="preserve">+260 97 7957820</t>
  </si>
  <si>
    <t xml:space="preserve">https://weighgrid.com/</t>
  </si>
  <si>
    <t xml:space="preserve">KAVS Equipment Ltd</t>
  </si>
  <si>
    <t xml:space="preserve">Mining Equipment</t>
  </si>
  <si>
    <t xml:space="preserve">info@kavsequipment.com</t>
  </si>
  <si>
    <t xml:space="preserve">+260 96 6992542</t>
  </si>
  <si>
    <t xml:space="preserve">https://www.kavsequipment.com/</t>
  </si>
  <si>
    <t xml:space="preserve">Blueprint Environmental &amp; Construction</t>
  </si>
  <si>
    <t xml:space="preserve">Environmental / Construction</t>
  </si>
  <si>
    <t xml:space="preserve">info@blueprintecon.com</t>
  </si>
  <si>
    <t xml:space="preserve">+260 95 6963378</t>
  </si>
  <si>
    <t xml:space="preserve">http://blueprintecon.com/</t>
  </si>
  <si>
    <t xml:space="preserve">Blu Splash Engineering Ltd</t>
  </si>
  <si>
    <t xml:space="preserve">info@blu-splash.com</t>
  </si>
  <si>
    <t xml:space="preserve">+260 76 6990036</t>
  </si>
  <si>
    <t xml:space="preserve">https://blu-splash.com/</t>
  </si>
  <si>
    <t xml:space="preserve">KITWE GOLD DETECTOR ZAMBIA</t>
  </si>
  <si>
    <t xml:space="preserve">info@hayatiprospectors.com</t>
  </si>
  <si>
    <t xml:space="preserve">+260 97 8583074</t>
  </si>
  <si>
    <t xml:space="preserve">https://hayatiprospectors.com/</t>
  </si>
  <si>
    <t xml:space="preserve">G&amp;H Transport Zambia</t>
  </si>
  <si>
    <t xml:space="preserve">Transport / Logistics</t>
  </si>
  <si>
    <t xml:space="preserve">info@ghtransport.africa</t>
  </si>
  <si>
    <t xml:space="preserve">+260 76 4778343</t>
  </si>
  <si>
    <t xml:space="preserve">http://www.ghtransport.co.za/</t>
  </si>
  <si>
    <t xml:space="preserve">Accounting firm</t>
  </si>
  <si>
    <t xml:space="preserve">+260 95 5336061</t>
  </si>
  <si>
    <t xml:space="preserve">Lusaka</t>
  </si>
  <si>
    <t xml:space="preserve">Ndilila Associates Architects</t>
  </si>
  <si>
    <t xml:space="preserve">Architecture firm</t>
  </si>
  <si>
    <t xml:space="preserve">admin@ndililaarchitects.com</t>
  </si>
  <si>
    <t xml:space="preserve">+260 211 228 190</t>
  </si>
  <si>
    <t xml:space="preserve">http://www.ndililaarchitects.com/</t>
  </si>
  <si>
    <t xml:space="preserve">M&amp;J Zambia</t>
  </si>
  <si>
    <t xml:space="preserve">Business management consultant</t>
  </si>
  <si>
    <t xml:space="preserve">info@mjconsultants.co.zm</t>
  </si>
  <si>
    <t xml:space="preserve">+260 95 0054386</t>
  </si>
  <si>
    <t xml:space="preserve">https://mjconsultants.co.zm/</t>
  </si>
  <si>
    <t xml:space="preserve">Opportune Time Business Consultants</t>
  </si>
  <si>
    <t xml:space="preserve">Tax consultant</t>
  </si>
  <si>
    <t xml:space="preserve">admin@opportunetime.com</t>
  </si>
  <si>
    <t xml:space="preserve">+260 96 6428370</t>
  </si>
  <si>
    <t xml:space="preserve">https://www.opportuneconsultants.com/</t>
  </si>
  <si>
    <t xml:space="preserve">Madinawala Engineering</t>
  </si>
  <si>
    <t xml:space="preserve">Mechanical engineer</t>
  </si>
  <si>
    <t xml:space="preserve">enquiries@madinawalaengineering.com</t>
  </si>
  <si>
    <t xml:space="preserve">+260 97 4284411</t>
  </si>
  <si>
    <t xml:space="preserve">https://madinawalaengineering.com/</t>
  </si>
  <si>
    <t xml:space="preserve">Hydro-flow Apex Co.</t>
  </si>
  <si>
    <t xml:space="preserve">Consultant</t>
  </si>
  <si>
    <t xml:space="preserve">info@hydroflowapex.com</t>
  </si>
  <si>
    <t xml:space="preserve">https://hydroflowapex.com/</t>
  </si>
  <si>
    <t xml:space="preserve">Rankin Engineering Consultants</t>
  </si>
  <si>
    <t xml:space="preserve">Engineering consultant</t>
  </si>
  <si>
    <t xml:space="preserve">info@rankinengineering.com</t>
  </si>
  <si>
    <t xml:space="preserve">+260 211 291 195</t>
  </si>
  <si>
    <t xml:space="preserve">https://www.rankinengineering.com/</t>
  </si>
  <si>
    <t xml:space="preserve">Fabulous Engineering</t>
  </si>
  <si>
    <t xml:space="preserve">Fabulousengineeringinfo@gmail.com</t>
  </si>
  <si>
    <t xml:space="preserve">+260 96 9064419</t>
  </si>
  <si>
    <t xml:space="preserve">http://fabulousengineering.com/</t>
  </si>
  <si>
    <t xml:space="preserve">BEHIND</t>
  </si>
  <si>
    <t xml:space="preserve">WhCorprorate Chartered Accountants</t>
  </si>
  <si>
    <t xml:space="preserve">contact@whc.co.zm</t>
  </si>
  <si>
    <t xml:space="preserve">+260 211 236 751</t>
  </si>
  <si>
    <t xml:space="preserve">http://www.whc.co.zm/</t>
  </si>
  <si>
    <t xml:space="preserve">iABC Associates</t>
  </si>
  <si>
    <t xml:space="preserve">Financial audit</t>
  </si>
  <si>
    <t xml:space="preserve">kkaluba@iabc.co.zm</t>
  </si>
  <si>
    <t xml:space="preserve">+260 76 1919350</t>
  </si>
  <si>
    <t xml:space="preserve">http://www.iabc.co.zm/</t>
  </si>
  <si>
    <t xml:space="preserve">AA Electronics Kalambo Road</t>
  </si>
  <si>
    <t xml:space="preserve">Electronic parts supplier</t>
  </si>
  <si>
    <t xml:space="preserve">sales@aaelectronicszm.com</t>
  </si>
  <si>
    <t xml:space="preserve">+260 211 222 666</t>
  </si>
  <si>
    <t xml:space="preserve">http://www.aaelectronicszm.com/</t>
  </si>
  <si>
    <t xml:space="preserve">Lilly Brown &amp; Associates</t>
  </si>
  <si>
    <t xml:space="preserve">Law firm</t>
  </si>
  <si>
    <t xml:space="preserve">info@lilybrownassociates.com</t>
  </si>
  <si>
    <t xml:space="preserve">+260 76 9803204</t>
  </si>
  <si>
    <t xml:space="preserve">https://www.lilybrownassociates.com/</t>
  </si>
  <si>
    <t xml:space="preserve">TrackMe Business Solutions Limited</t>
  </si>
  <si>
    <t xml:space="preserve">Logistics service</t>
  </si>
  <si>
    <t xml:space="preserve">info@trackme.co.zm</t>
  </si>
  <si>
    <t xml:space="preserve">+260 76 8547219</t>
  </si>
  <si>
    <t xml:space="preserve">https://www.trackme.co.zm/</t>
  </si>
  <si>
    <t xml:space="preserve">Duniya Healthcare</t>
  </si>
  <si>
    <t xml:space="preserve">hello@duniyahealthcare.com</t>
  </si>
  <si>
    <t xml:space="preserve">+260 77 7256646</t>
  </si>
  <si>
    <t xml:space="preserve">https://www.duniyahealthcare.com/</t>
  </si>
  <si>
    <t xml:space="preserve">harrison and associates</t>
  </si>
  <si>
    <t xml:space="preserve">Accountant</t>
  </si>
  <si>
    <t xml:space="preserve">mp@harrisonandassociates.com</t>
  </si>
  <si>
    <t xml:space="preserve">+260 97 7654599</t>
  </si>
  <si>
    <t xml:space="preserve">http://harrisonandassociates.com/</t>
  </si>
  <si>
    <t xml:space="preserve">D Kalima &amp; Company</t>
  </si>
  <si>
    <t xml:space="preserve">info@dkalima.com</t>
  </si>
  <si>
    <t xml:space="preserve">+260 97 4379093</t>
  </si>
  <si>
    <t xml:space="preserve">https://www.dkalima.com/</t>
  </si>
  <si>
    <t xml:space="preserve">Gulf First Shipping and Logistics LTD - Zambia</t>
  </si>
  <si>
    <t xml:space="preserve">Freight Forwarding Service</t>
  </si>
  <si>
    <t xml:space="preserve">info@gulffirst.com</t>
  </si>
  <si>
    <t xml:space="preserve">+260 96 5384698</t>
  </si>
  <si>
    <t xml:space="preserve">https://www.gulffirst.com/</t>
  </si>
  <si>
    <t xml:space="preserve">D. Findlay &amp; Associates</t>
  </si>
  <si>
    <t xml:space="preserve">Corporate office</t>
  </si>
  <si>
    <t xml:space="preserve">info@dfindlaylaw.com</t>
  </si>
  <si>
    <t xml:space="preserve">+260 96 6751257</t>
  </si>
  <si>
    <t xml:space="preserve">https://dfindlaylaw.com/</t>
  </si>
  <si>
    <t xml:space="preserve">LCK Chambers</t>
  </si>
  <si>
    <t xml:space="preserve">infodesk@lck.co.zm</t>
  </si>
  <si>
    <t xml:space="preserve">+260 211 257 003</t>
  </si>
  <si>
    <t xml:space="preserve">https://lck.co.zm/</t>
  </si>
  <si>
    <t xml:space="preserve">Ellis &amp; Co - Advocates Attorneys and Notaries</t>
  </si>
  <si>
    <t xml:space="preserve">info@ellis.org.zm</t>
  </si>
  <si>
    <t xml:space="preserve">+260 211 252 709</t>
  </si>
  <si>
    <t xml:space="preserve">https://ellislegal.co.zm/</t>
  </si>
  <si>
    <t xml:space="preserve">Wani &amp; Co Legal Practitioners</t>
  </si>
  <si>
    <t xml:space="preserve">info@mediarychambers.com</t>
  </si>
  <si>
    <t xml:space="preserve">+260 77 7768594</t>
  </si>
  <si>
    <t xml:space="preserve">https://www.mediarychambers.com/wani-and-co</t>
  </si>
  <si>
    <t xml:space="preserve">May and Company</t>
  </si>
  <si>
    <t xml:space="preserve">Legal services</t>
  </si>
  <si>
    <t xml:space="preserve">info@mayandco.co.zm</t>
  </si>
  <si>
    <t xml:space="preserve">+260 211 250 580</t>
  </si>
  <si>
    <t xml:space="preserve">https://mayandco.law/</t>
  </si>
  <si>
    <t xml:space="preserve">SLM Legal Practitioners</t>
  </si>
  <si>
    <t xml:space="preserve">info@slmlegal.co.zm</t>
  </si>
  <si>
    <t xml:space="preserve">+260 211 258 994</t>
  </si>
  <si>
    <t xml:space="preserve">https://www.slmpractitioners.com/</t>
  </si>
  <si>
    <t xml:space="preserve">Law Association of Zambia</t>
  </si>
  <si>
    <t xml:space="preserve">Lawyers association</t>
  </si>
  <si>
    <t xml:space="preserve">info@laz.org.zm</t>
  </si>
  <si>
    <t xml:space="preserve">+260 211 254 401</t>
  </si>
  <si>
    <t xml:space="preserve">http://www.laz.org.zm/</t>
  </si>
  <si>
    <t xml:space="preserve">Theotis Mutemi Legal Practitioners</t>
  </si>
  <si>
    <t xml:space="preserve">info@tmlp.com.zm</t>
  </si>
  <si>
    <t xml:space="preserve">+260 211 222 511</t>
  </si>
  <si>
    <t xml:space="preserve">https://theotismutemi.com/</t>
  </si>
  <si>
    <t xml:space="preserve">SPJ Electronics Zambia</t>
  </si>
  <si>
    <t xml:space="preserve">Electronics company</t>
  </si>
  <si>
    <t xml:space="preserve">info@thespj.com</t>
  </si>
  <si>
    <t xml:space="preserve">+260 77 0865631</t>
  </si>
  <si>
    <t xml:space="preserve">https://www.thespj.com/</t>
  </si>
  <si>
    <t xml:space="preserve">Freight and Passenger Services LTD</t>
  </si>
  <si>
    <t xml:space="preserve">Transportation service</t>
  </si>
  <si>
    <t xml:space="preserve">fps@freight.co.zm</t>
  </si>
  <si>
    <t xml:space="preserve">+260 211 286 462</t>
  </si>
  <si>
    <t xml:space="preserve">https://www.freight.co.zm/</t>
  </si>
  <si>
    <t xml:space="preserve">DCC Technologies (Pty) Ltd</t>
  </si>
  <si>
    <t xml:space="preserve">Distribution service</t>
  </si>
  <si>
    <t xml:space="preserve">info@dcctech.com</t>
  </si>
  <si>
    <t xml:space="preserve">+260 97 7261020</t>
  </si>
  <si>
    <t xml:space="preserve">https://www.dcctech.com/</t>
  </si>
  <si>
    <t xml:space="preserve">Asian Medicos Enterprise</t>
  </si>
  <si>
    <t xml:space="preserve">Medical supply store</t>
  </si>
  <si>
    <t xml:space="preserve">filler@godaddy.com</t>
  </si>
  <si>
    <t xml:space="preserve">+260 211 233 857 ext. 222720</t>
  </si>
  <si>
    <t xml:space="preserve">http://www.asianmedicosenterprise.com/</t>
  </si>
  <si>
    <t xml:space="preserve">JPA Legal Zambia</t>
  </si>
  <si>
    <t xml:space="preserve">info@jpalegal.com</t>
  </si>
  <si>
    <t xml:space="preserve">https://www.jpalegal.com/</t>
  </si>
  <si>
    <t xml:space="preserve">Designworx Studios Ltd</t>
  </si>
  <si>
    <t xml:space="preserve">Print shop</t>
  </si>
  <si>
    <t xml:space="preserve">info@designworxstudios.net</t>
  </si>
  <si>
    <t xml:space="preserve">+260 211 237 935</t>
  </si>
  <si>
    <t xml:space="preserve">http://www.designworxstudios.net/</t>
  </si>
  <si>
    <t xml:space="preserve">Appletech Business Solutions</t>
  </si>
  <si>
    <t xml:space="preserve">Energy equipment and solutions</t>
  </si>
  <si>
    <t xml:space="preserve">appletechbusinesssolutions@gmail.com</t>
  </si>
  <si>
    <t xml:space="preserve">+260 97 2333053</t>
  </si>
  <si>
    <t xml:space="preserve">https://appletechbusinesssolutions.org/</t>
  </si>
  <si>
    <t xml:space="preserve">zhengzhou unique industrial equipment co.,ltd</t>
  </si>
  <si>
    <t xml:space="preserve">Factory equipment supplier</t>
  </si>
  <si>
    <t xml:space="preserve">sales@unique-cons.com</t>
  </si>
  <si>
    <t xml:space="preserve">+86 132 8384 3073</t>
  </si>
  <si>
    <t xml:space="preserve">https://www.uniquemacglobal.com/</t>
  </si>
  <si>
    <t xml:space="preserve">Aston AIR Car Hire</t>
  </si>
  <si>
    <t xml:space="preserve">Car rental agency</t>
  </si>
  <si>
    <t xml:space="preserve">info@astonairgroup.co.zm</t>
  </si>
  <si>
    <t xml:space="preserve">+260 97 7500500</t>
  </si>
  <si>
    <t xml:space="preserve">https://astonairgroup.co.zm/</t>
  </si>
  <si>
    <t xml:space="preserve">INARA INVESTMENTS ZAMBIA LIMITED</t>
  </si>
  <si>
    <t xml:space="preserve">info@inarainvestments.com</t>
  </si>
  <si>
    <t xml:space="preserve">+260 77 7435735</t>
  </si>
  <si>
    <t xml:space="preserve">http://www.inarainvestments.com/</t>
  </si>
  <si>
    <t xml:space="preserve">Alick Suma health consultant</t>
  </si>
  <si>
    <t xml:space="preserve">Pharmaceutical company</t>
  </si>
  <si>
    <t xml:space="preserve">hello@zambiadirectory.com</t>
  </si>
  <si>
    <t xml:space="preserve">+260 77 3832733</t>
  </si>
  <si>
    <t xml:space="preserve">https://www.zambiadirectory.com/lusaka/manufacturing-industrial/alick-suma-health-consultant</t>
  </si>
  <si>
    <t xml:space="preserve">The Heptagon Engineering LTD</t>
  </si>
  <si>
    <t xml:space="preserve">Solar energy company</t>
  </si>
  <si>
    <t xml:space="preserve">sales@theheptagon.co.za</t>
  </si>
  <si>
    <t xml:space="preserve">+260 97 8826988</t>
  </si>
  <si>
    <t xml:space="preserve">http://www.theheptagon.co.za/</t>
  </si>
  <si>
    <t xml:space="preserve">Tropical Products Zambia Limited</t>
  </si>
  <si>
    <t xml:space="preserve">sales@tropicalint.com</t>
  </si>
  <si>
    <t xml:space="preserve">+260 96 7630000</t>
  </si>
  <si>
    <t xml:space="preserve">http://www.tropicalint.com/</t>
  </si>
  <si>
    <t xml:space="preserve">ORANGE PHARMA LTD</t>
  </si>
  <si>
    <t xml:space="preserve">info@orangepharmazm.co</t>
  </si>
  <si>
    <t xml:space="preserve">+260 96 6834918</t>
  </si>
  <si>
    <t xml:space="preserve">https://orangepharmazm.co/</t>
  </si>
  <si>
    <t xml:space="preserve">Agro-Fuel Investments Ltd.</t>
  </si>
  <si>
    <t xml:space="preserve">info@agrofuelinvestments.com</t>
  </si>
  <si>
    <t xml:space="preserve">+260 211 288 836</t>
  </si>
  <si>
    <t xml:space="preserve">http://agrofuelinvestments.com/</t>
  </si>
  <si>
    <t xml:space="preserve">Ajay Industrial Corporation Zambia Limited</t>
  </si>
  <si>
    <t xml:space="preserve">Irrigation equipment supplier</t>
  </si>
  <si>
    <t xml:space="preserve">info@ajayindustrial.com</t>
  </si>
  <si>
    <t xml:space="preserve">+260 97 3924724</t>
  </si>
  <si>
    <t xml:space="preserve">http://www.ajayindustrial.com/</t>
  </si>
  <si>
    <t xml:space="preserve">MBS industries Ltd</t>
  </si>
  <si>
    <t xml:space="preserve">Balajiagroltd@gmail.com</t>
  </si>
  <si>
    <t xml:space="preserve">+260 95 7944622</t>
  </si>
  <si>
    <t xml:space="preserve">http://www.balajiagroltd.com/</t>
  </si>
  <si>
    <t xml:space="preserve">Linkage International Shipping &amp; Forwarding Zambia since 1983</t>
  </si>
  <si>
    <t xml:space="preserve">Shipping service</t>
  </si>
  <si>
    <t xml:space="preserve">linkage@linkage.ae</t>
  </si>
  <si>
    <t xml:space="preserve">+260 97 1164438</t>
  </si>
  <si>
    <t xml:space="preserve">http://www.linkageworldwide.com/</t>
  </si>
  <si>
    <t xml:space="preserve">Intergrity Cargo Pty Ltd</t>
  </si>
  <si>
    <t xml:space="preserve">info@intergritycargo.co.za</t>
  </si>
  <si>
    <t xml:space="preserve">+260 96 7495277</t>
  </si>
  <si>
    <t xml:space="preserve">https://www.intergritycargo.co.za/</t>
  </si>
  <si>
    <t xml:space="preserve">Eastlight Logistics Zambia Ltd</t>
  </si>
  <si>
    <t xml:space="preserve">Courier service</t>
  </si>
  <si>
    <t xml:space="preserve">info@eastlightzambia.com</t>
  </si>
  <si>
    <t xml:space="preserve">+260 97 7856565</t>
  </si>
  <si>
    <t xml:space="preserve">http://www.eastlight.org/</t>
  </si>
  <si>
    <t xml:space="preserve">BRA Express</t>
  </si>
  <si>
    <t xml:space="preserve">info@braexpresszambia.com</t>
  </si>
  <si>
    <t xml:space="preserve">+260 95 7113070</t>
  </si>
  <si>
    <t xml:space="preserve">https://braexpresszambia.com/</t>
  </si>
  <si>
    <t xml:space="preserve">Juba Transport SA (pty) Ltd</t>
  </si>
  <si>
    <t xml:space="preserve">Trucking company</t>
  </si>
  <si>
    <t xml:space="preserve">info@jubatransport.co.zm</t>
  </si>
  <si>
    <t xml:space="preserve">+260 97 2754535</t>
  </si>
  <si>
    <t xml:space="preserve">http://www.jubatransport.co.zm/</t>
  </si>
  <si>
    <t xml:space="preserve">Forlan Logistics Limited</t>
  </si>
  <si>
    <t xml:space="preserve">flcardealers@gmail.com</t>
  </si>
  <si>
    <t xml:space="preserve">+260 96 7929253</t>
  </si>
  <si>
    <t xml:space="preserve">https://www.forlanlogistics.com/</t>
  </si>
  <si>
    <t xml:space="preserve">Infix Logistics Zambia</t>
  </si>
  <si>
    <t xml:space="preserve">sales@infixlogistics.com</t>
  </si>
  <si>
    <t xml:space="preserve">+260 97 4362195</t>
  </si>
  <si>
    <t xml:space="preserve">https://infixlogistics.com/</t>
  </si>
  <si>
    <t xml:space="preserve">City Worx</t>
  </si>
  <si>
    <t xml:space="preserve">Quantity surveyor</t>
  </si>
  <si>
    <t xml:space="preserve">admin@cityworx.co.zm</t>
  </si>
  <si>
    <t xml:space="preserve">+260 211 258 263</t>
  </si>
  <si>
    <t xml:space="preserve">http://www.cityworx.co.zm/</t>
  </si>
  <si>
    <t xml:space="preserve">Corelink Consulting</t>
  </si>
  <si>
    <t xml:space="preserve">Information services</t>
  </si>
  <si>
    <t xml:space="preserve">info@corelink.co.zm</t>
  </si>
  <si>
    <t xml:space="preserve">+260 96 3493849</t>
  </si>
  <si>
    <t xml:space="preserve">https://www.corelink.co.zm/</t>
  </si>
  <si>
    <t xml:space="preserve">Insulated Systems</t>
  </si>
  <si>
    <t xml:space="preserve">Construction company</t>
  </si>
  <si>
    <t xml:space="preserve">insulatedsystems@gmail.com</t>
  </si>
  <si>
    <t xml:space="preserve">+260 96 3766180</t>
  </si>
  <si>
    <t xml:space="preserve">http://www.insulatedsystemsltd.com/</t>
  </si>
  <si>
    <t xml:space="preserve">Area</t>
  </si>
  <si>
    <t xml:space="preserve">Zambia Transport and Logistics News</t>
  </si>
  <si>
    <t xml:space="preserve">admin@zambiatransportandlogistics.com</t>
  </si>
  <si>
    <t xml:space="preserve">+260 96 4118654</t>
  </si>
  <si>
    <t xml:space="preserve">https://zambiatransportandlogistics.com/</t>
  </si>
  <si>
    <t xml:space="preserve">Reeds Business Solutions</t>
  </si>
  <si>
    <t xml:space="preserve">daniel.katongo@reedsadvisory.com</t>
  </si>
  <si>
    <t xml:space="preserve">+260 96 8934750</t>
  </si>
  <si>
    <t xml:space="preserve">http://www.reedsbusinesssolutions.com/</t>
  </si>
  <si>
    <t xml:space="preserve">HRLeverage Zambia</t>
  </si>
  <si>
    <t xml:space="preserve">Human resource consulting</t>
  </si>
  <si>
    <t xml:space="preserve">hello@hrleveragezambia.com</t>
  </si>
  <si>
    <t xml:space="preserve">+260 97 2848499</t>
  </si>
  <si>
    <t xml:space="preserve">https://www.hrleveragezambia.com/</t>
  </si>
  <si>
    <t xml:space="preserve">Hilti - Nemchem Lusaka Office</t>
  </si>
  <si>
    <t xml:space="preserve">Construction equipment supplier</t>
  </si>
  <si>
    <t xml:space="preserve">anneme@nemchem.co.zm</t>
  </si>
  <si>
    <t xml:space="preserve">+260 76 0631904</t>
  </si>
  <si>
    <t xml:space="preserve">https://www.hilti.co.zm/</t>
  </si>
  <si>
    <t xml:space="preserve">Creative Aluminium &amp; Glass Limited</t>
  </si>
  <si>
    <t xml:space="preserve">info@creative-aluminium.com</t>
  </si>
  <si>
    <t xml:space="preserve">+260 211 846 277</t>
  </si>
  <si>
    <t xml:space="preserve">http://www.creative-aluminium.com/</t>
  </si>
  <si>
    <t xml:space="preserve">Muyatwa Legal Practitioners</t>
  </si>
  <si>
    <t xml:space="preserve">info@muyatwalegal.com</t>
  </si>
  <si>
    <t xml:space="preserve">N/A</t>
  </si>
  <si>
    <t xml:space="preserve">https://www.muyatwalegal.com/</t>
  </si>
  <si>
    <t xml:space="preserve">AMW &amp; Co</t>
  </si>
  <si>
    <t xml:space="preserve">info@amwlegal.com</t>
  </si>
  <si>
    <t xml:space="preserve">+260 211 237957</t>
  </si>
  <si>
    <t xml:space="preserve">https://www.amw-legal.com/</t>
  </si>
  <si>
    <t xml:space="preserve">Musa Dudhia &amp; Co</t>
  </si>
  <si>
    <t xml:space="preserve">info@musadudhia.co.zm</t>
  </si>
  <si>
    <t xml:space="preserve">https://aln.africa/our-offices/aln-zambia-musa-dudhia-co/</t>
  </si>
  <si>
    <t xml:space="preserve">Bowmans – B&amp;M Legal Practitioners</t>
  </si>
  <si>
    <t xml:space="preserve">info-zb@bowmanslaw.com</t>
  </si>
  <si>
    <t xml:space="preserve">+260 211 356638</t>
  </si>
  <si>
    <t xml:space="preserve">https://www.bowmanslaw.com/</t>
  </si>
  <si>
    <t xml:space="preserve">Malisa and Partners</t>
  </si>
  <si>
    <t xml:space="preserve">info@malisaandpartners.law</t>
  </si>
  <si>
    <t xml:space="preserve">https://www.malisaandpartners.law/</t>
  </si>
  <si>
    <t xml:space="preserve">Chibesakunda &amp; Co</t>
  </si>
  <si>
    <t xml:space="preserve">mwelwa.chibesakunda@cco.co.zm</t>
  </si>
  <si>
    <t xml:space="preserve">+260 211 366400</t>
  </si>
  <si>
    <t xml:space="preserve">https://www.dlapiperafrica.com/en/zambia/</t>
  </si>
  <si>
    <t xml:space="preserve">May &amp; Co</t>
  </si>
  <si>
    <t xml:space="preserve">info@mayandco.law</t>
  </si>
  <si>
    <t xml:space="preserve">NGM Consulting Engineers</t>
  </si>
  <si>
    <t xml:space="preserve">ngm@ngmzambia.com</t>
  </si>
  <si>
    <t xml:space="preserve">+260 955781519</t>
  </si>
  <si>
    <t xml:space="preserve">https://ngmzambia.com/</t>
  </si>
  <si>
    <t xml:space="preserve">Replied 💬</t>
  </si>
  <si>
    <t xml:space="preserve">ALLiONE Consulting Engineers</t>
  </si>
  <si>
    <t xml:space="preserve">admin@allioneconsulting.com</t>
  </si>
  <si>
    <t xml:space="preserve">https://www.allioneconsulting.com/</t>
  </si>
  <si>
    <t xml:space="preserve">AMG Global Chartered Accountants</t>
  </si>
  <si>
    <t xml:space="preserve">fridaynyambe@amgglobal.co.zm</t>
  </si>
  <si>
    <t xml:space="preserve">+260 211 251159</t>
  </si>
  <si>
    <t xml:space="preserve">Actco Accountants</t>
  </si>
  <si>
    <t xml:space="preserve">info@actco.co.zm</t>
  </si>
  <si>
    <t xml:space="preserve">+260 977 827272</t>
  </si>
  <si>
    <t xml:space="preserve">Baker Tilly Gwatidzo</t>
  </si>
  <si>
    <t xml:space="preserve">enquiries@bakertillygwatidzo.com</t>
  </si>
  <si>
    <t xml:space="preserve">+260 211 269416</t>
  </si>
  <si>
    <t xml:space="preserve">Nolands Zambia</t>
  </si>
  <si>
    <t xml:space="preserve">kelvinc@nolands.co.zm</t>
  </si>
  <si>
    <t xml:space="preserve">+260 764 728388</t>
  </si>
  <si>
    <t xml:space="preserve">https://nolands.global/zambia/</t>
  </si>
  <si>
    <t xml:space="preserve">Amazon Associates</t>
  </si>
  <si>
    <t xml:space="preserve">info@amazonassociates.co.zm</t>
  </si>
  <si>
    <t xml:space="preserve">+260 955 766618</t>
  </si>
  <si>
    <t xml:space="preserve">Hill &amp; Delamain (Zambia) Ltd</t>
  </si>
  <si>
    <t xml:space="preserve">logistics@hdcargo.co.zm</t>
  </si>
  <si>
    <t xml:space="preserve">+260 211 286480</t>
  </si>
  <si>
    <t xml:space="preserve">https://www.hill-delamain.co.zm/</t>
  </si>
  <si>
    <t xml:space="preserve">Global Logistics Limited</t>
  </si>
  <si>
    <t xml:space="preserve">info@globalzm.com</t>
  </si>
  <si>
    <t xml:space="preserve">+260 977 476711</t>
  </si>
  <si>
    <t xml:space="preserve">https://globalzm.com/</t>
  </si>
  <si>
    <t xml:space="preserve">Flow Logistics Solutions Limited</t>
  </si>
  <si>
    <t xml:space="preserve">info@flowlogisticszambia.com</t>
  </si>
  <si>
    <t xml:space="preserve">https://flowlogisticszambia.com/</t>
  </si>
  <si>
    <t xml:space="preserve">Mercury Express Logistics</t>
  </si>
  <si>
    <t xml:space="preserve">+260 971 269390</t>
  </si>
  <si>
    <t xml:space="preserve">Concorde Construction</t>
  </si>
  <si>
    <t xml:space="preserve">info@concorde.co.zm</t>
  </si>
  <si>
    <t xml:space="preserve">https://concorde.co.zm/</t>
  </si>
  <si>
    <t xml:space="preserve">ECMining</t>
  </si>
  <si>
    <t xml:space="preserve">Mining services</t>
  </si>
  <si>
    <t xml:space="preserve">info@ecmining.com</t>
  </si>
  <si>
    <t xml:space="preserve">https://ecmining.com/</t>
  </si>
  <si>
    <t xml:space="preserve">Mining Haulage</t>
  </si>
  <si>
    <t xml:space="preserve">Mining transport</t>
  </si>
  <si>
    <t xml:space="preserve">trucks@mininghaulage.co.zm</t>
  </si>
  <si>
    <t xml:space="preserve">+260 212 314058</t>
  </si>
  <si>
    <t xml:space="preserve">https://www.mininghaulage.co.zm/</t>
  </si>
  <si>
    <t xml:space="preserve">Central Estates Zambia</t>
  </si>
  <si>
    <t xml:space="preserve">Real estate</t>
  </si>
  <si>
    <t xml:space="preserve">info@centralestates.org</t>
  </si>
  <si>
    <t xml:space="preserve">https://www.centralestates.org/</t>
  </si>
  <si>
    <t xml:space="preserve">Seeff Properties Zambia</t>
  </si>
  <si>
    <t xml:space="preserve">info@seeff.co.zm</t>
  </si>
  <si>
    <t xml:space="preserve">https://www.seeff.co.zm/</t>
  </si>
  <si>
    <t xml:space="preserve">BCA Properties</t>
  </si>
  <si>
    <t xml:space="preserve">info@bcaproperties.com</t>
  </si>
  <si>
    <t xml:space="preserve">https://bcaproperties.com/</t>
  </si>
  <si>
    <t xml:space="preserve">Horizon Properties Limited</t>
  </si>
  <si>
    <t xml:space="preserve">info@thehorizonproperties.com</t>
  </si>
  <si>
    <t xml:space="preserve">https://thehorizonproperties.com/</t>
  </si>
  <si>
    <t xml:space="preserve">Primate Real Estate</t>
  </si>
  <si>
    <t xml:space="preserve">info@primaterealestate.com</t>
  </si>
  <si>
    <t xml:space="preserve">https://www.primaterealestate.com/</t>
  </si>
  <si>
    <t xml:space="preserve">KSM Management Consultants</t>
  </si>
  <si>
    <t xml:space="preserve">HR consulting</t>
  </si>
  <si>
    <t xml:space="preserve">info@ksm.co.zm</t>
  </si>
  <si>
    <t xml:space="preserve">https://ksm.co.zm/</t>
  </si>
  <si>
    <t xml:space="preserve">Brilliance Executive Management Consultants</t>
  </si>
  <si>
    <t xml:space="preserve">HR / management consulting</t>
  </si>
  <si>
    <t xml:space="preserve">info@bemconsult.com</t>
  </si>
  <si>
    <t xml:space="preserve">https://bemconsult.com/</t>
  </si>
  <si>
    <t xml:space="preserve">Talent House</t>
  </si>
  <si>
    <t xml:space="preserve">Recruitment / HR</t>
  </si>
  <si>
    <t xml:space="preserve">info@talenthousepeople.com</t>
  </si>
  <si>
    <t xml:space="preserve">https://talenthousepeople.com/</t>
  </si>
  <si>
    <t xml:space="preserve">Lift &amp; Shift Trucking</t>
  </si>
  <si>
    <t xml:space="preserve">info@liftandshifttrucking.co.zm</t>
  </si>
  <si>
    <t xml:space="preserve">https://liftandshifttrucking.co.zm/</t>
  </si>
  <si>
    <t xml:space="preserve">Partnr Outreach — Lead Tracker</t>
  </si>
  <si>
    <t xml:space="preserve">Auto-updates when statuses change</t>
  </si>
  <si>
    <t xml:space="preserve">PIPELINE</t>
  </si>
  <si>
    <t xml:space="preserve">🤝  Active Deal</t>
  </si>
  <si>
    <t xml:space="preserve">💬  Replied</t>
  </si>
  <si>
    <t xml:space="preserve">📤  Sent</t>
  </si>
  <si>
    <t xml:space="preserve">📝  Draft Ready</t>
  </si>
  <si>
    <t xml:space="preserve">⬜  Not Contacted</t>
  </si>
  <si>
    <t xml:space="preserve">TOTAL LEADS</t>
  </si>
  <si>
    <t xml:space="preserve">TOTAL TOUCHED</t>
  </si>
  <si>
    <t xml:space="preserve">BY CITY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</si>
</sst>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2E75B6"/>
      <name val="Aptos"/>
      <family val="0"/>
      <charset val="1"/>
    </font>
    <font>
      <sz val="11"/>
      <name val="Aptos"/>
      <family val="0"/>
      <charset val="1"/>
    </font>
    <font>
      <sz val="9"/>
      <color rgb="FF6B7280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10"/>
      <color rgb="FF1F2937"/>
      <name val="Aptos"/>
      <family val="0"/>
      <charset val="1"/>
    </font>
    <font>
      <b val="true"/>
      <sz val="11"/>
      <color rgb="FF2E75B6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0"/>
      <color rgb="FF1F2937"/>
      <name val="Aptos"/>
      <family val="0"/>
      <charset val="1"/>
    </font>
    <font>
      <b val="true"/>
      <sz val="11"/>
      <color rgb="FF1A7A1A"/>
      <name val="Apto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FFFFFF"/>
        <bgColor rgb="FFEBF0FA"/>
      </patternFill>
    </fill>
    <fill>
      <patternFill patternType="solid">
        <fgColor rgb="FFEBF0FA"/>
        <bgColor rgb="FFE8F4E8"/>
      </patternFill>
    </fill>
    <fill>
      <patternFill patternType="solid">
        <fgColor rgb="FF1A5276"/>
        <bgColor rgb="FF1F3864"/>
      </patternFill>
    </fill>
    <fill>
      <patternFill patternType="solid">
        <fgColor rgb="FF1E8449"/>
        <bgColor rgb="FF1A7A1A"/>
      </patternFill>
    </fill>
    <fill>
      <patternFill patternType="solid">
        <fgColor rgb="FF2E75B6"/>
        <bgColor rgb="FF0066CC"/>
      </patternFill>
    </fill>
    <fill>
      <patternFill patternType="solid">
        <fgColor rgb="FFD9E8F5"/>
        <bgColor rgb="FFEBF0FA"/>
      </patternFill>
    </fill>
    <fill>
      <patternFill patternType="solid">
        <fgColor rgb="FFE8F4E8"/>
        <bgColor rgb="FFEBF0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1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F4E8"/>
      <rgbColor rgb="FFD9E8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A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1E8449"/>
      <rgbColor rgb="FF003300"/>
      <rgbColor rgb="FF333300"/>
      <rgbColor rgb="FF993300"/>
      <rgbColor rgb="FF993366"/>
      <rgbColor rgb="FF1A5276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38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8" hidden="false" customHeight="true" outlineLevel="0" collapsed="false">
      <c r="A2" s="2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n">
        <v>4.2</v>
      </c>
      <c r="I2" s="3" t="s">
        <v>16</v>
      </c>
      <c r="J2" s="3" t="s">
        <v>17</v>
      </c>
    </row>
    <row r="3" customFormat="false" ht="18" hidden="false" customHeight="true" outlineLevel="0" collapsed="false">
      <c r="A3" s="4" t="n">
        <v>2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15</v>
      </c>
      <c r="H3" s="4" t="n">
        <v>4.5</v>
      </c>
      <c r="I3" s="5" t="s">
        <v>23</v>
      </c>
      <c r="J3" s="5"/>
    </row>
    <row r="4" customFormat="false" ht="18" hidden="false" customHeight="true" outlineLevel="0" collapsed="false">
      <c r="A4" s="2" t="n">
        <v>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15</v>
      </c>
      <c r="H4" s="2" t="n">
        <v>4.6</v>
      </c>
      <c r="I4" s="3" t="s">
        <v>23</v>
      </c>
      <c r="J4" s="3"/>
    </row>
    <row r="5" customFormat="false" ht="18" hidden="false" customHeight="true" outlineLevel="0" collapsed="false">
      <c r="A5" s="4" t="n">
        <v>4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15</v>
      </c>
      <c r="H5" s="4" t="s">
        <v>34</v>
      </c>
      <c r="I5" s="5" t="s">
        <v>23</v>
      </c>
      <c r="J5" s="5"/>
    </row>
    <row r="6" customFormat="false" ht="18" hidden="false" customHeight="true" outlineLevel="0" collapsed="false">
      <c r="A6" s="2" t="n">
        <v>5</v>
      </c>
      <c r="B6" s="3" t="s">
        <v>35</v>
      </c>
      <c r="C6" s="3" t="s">
        <v>30</v>
      </c>
      <c r="D6" s="3" t="s">
        <v>36</v>
      </c>
      <c r="E6" s="3" t="s">
        <v>37</v>
      </c>
      <c r="F6" s="3" t="s">
        <v>38</v>
      </c>
      <c r="G6" s="3" t="s">
        <v>15</v>
      </c>
      <c r="H6" s="2" t="s">
        <v>34</v>
      </c>
      <c r="I6" s="3" t="s">
        <v>23</v>
      </c>
      <c r="J6" s="3"/>
    </row>
    <row r="7" customFormat="false" ht="18" hidden="false" customHeight="true" outlineLevel="0" collapsed="false">
      <c r="A7" s="4" t="n">
        <v>6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15</v>
      </c>
      <c r="H7" s="4" t="n">
        <v>4.2</v>
      </c>
      <c r="I7" s="5" t="s">
        <v>44</v>
      </c>
      <c r="J7" s="5"/>
    </row>
    <row r="8" customFormat="false" ht="18" hidden="false" customHeight="true" outlineLevel="0" collapsed="false">
      <c r="A8" s="2" t="n">
        <v>7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15</v>
      </c>
      <c r="H8" s="2" t="n">
        <v>5</v>
      </c>
      <c r="I8" s="3" t="s">
        <v>23</v>
      </c>
      <c r="J8" s="3"/>
    </row>
    <row r="9" customFormat="false" ht="18" hidden="false" customHeight="true" outlineLevel="0" collapsed="false">
      <c r="A9" s="4" t="n">
        <v>8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15</v>
      </c>
      <c r="H9" s="4" t="s">
        <v>34</v>
      </c>
      <c r="I9" s="5" t="s">
        <v>44</v>
      </c>
      <c r="J9" s="5"/>
    </row>
    <row r="10" customFormat="false" ht="18" hidden="false" customHeight="true" outlineLevel="0" collapsed="false">
      <c r="A10" s="2" t="n">
        <v>9</v>
      </c>
      <c r="B10" s="3" t="s">
        <v>55</v>
      </c>
      <c r="C10" s="3" t="s">
        <v>19</v>
      </c>
      <c r="D10" s="3" t="s">
        <v>56</v>
      </c>
      <c r="E10" s="3" t="s">
        <v>57</v>
      </c>
      <c r="F10" s="3" t="s">
        <v>58</v>
      </c>
      <c r="G10" s="3" t="s">
        <v>15</v>
      </c>
      <c r="H10" s="2" t="n">
        <v>5</v>
      </c>
      <c r="I10" s="3" t="s">
        <v>44</v>
      </c>
      <c r="J10" s="3"/>
    </row>
    <row r="11" customFormat="false" ht="18" hidden="false" customHeight="true" outlineLevel="0" collapsed="false">
      <c r="A11" s="4" t="n">
        <v>10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15</v>
      </c>
      <c r="H11" s="4" t="n">
        <v>4.1</v>
      </c>
      <c r="I11" s="5" t="s">
        <v>44</v>
      </c>
      <c r="J11" s="5"/>
    </row>
    <row r="12" customFormat="false" ht="18" hidden="false" customHeight="true" outlineLevel="0" collapsed="false">
      <c r="A12" s="2" t="n">
        <v>11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15</v>
      </c>
      <c r="H12" s="2" t="n">
        <v>3.5</v>
      </c>
      <c r="I12" s="3" t="s">
        <v>44</v>
      </c>
      <c r="J12" s="3"/>
    </row>
    <row r="13" customFormat="false" ht="18" hidden="false" customHeight="true" outlineLevel="0" collapsed="false">
      <c r="A13" s="4" t="n">
        <v>12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15</v>
      </c>
      <c r="H13" s="4" t="n">
        <v>4</v>
      </c>
      <c r="I13" s="5" t="s">
        <v>44</v>
      </c>
      <c r="J13" s="5"/>
    </row>
    <row r="14" customFormat="false" ht="18" hidden="false" customHeight="true" outlineLevel="0" collapsed="false">
      <c r="A14" s="2" t="n">
        <v>13</v>
      </c>
      <c r="B14" s="3" t="s">
        <v>74</v>
      </c>
      <c r="C14" s="3" t="s">
        <v>70</v>
      </c>
      <c r="D14" s="3" t="s">
        <v>75</v>
      </c>
      <c r="E14" s="3" t="s">
        <v>76</v>
      </c>
      <c r="F14" s="3" t="s">
        <v>77</v>
      </c>
      <c r="G14" s="3" t="s">
        <v>15</v>
      </c>
      <c r="H14" s="2" t="n">
        <v>4</v>
      </c>
      <c r="I14" s="3" t="s">
        <v>44</v>
      </c>
      <c r="J14" s="3"/>
    </row>
    <row r="15" customFormat="false" ht="18" hidden="false" customHeight="true" outlineLevel="0" collapsed="false">
      <c r="A15" s="4" t="n">
        <v>14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82</v>
      </c>
      <c r="G15" s="5" t="s">
        <v>15</v>
      </c>
      <c r="H15" s="4" t="n">
        <v>3.9</v>
      </c>
      <c r="I15" s="5" t="s">
        <v>44</v>
      </c>
      <c r="J15" s="5"/>
    </row>
    <row r="16" customFormat="false" ht="18" hidden="false" customHeight="true" outlineLevel="0" collapsed="false">
      <c r="A16" s="2" t="n">
        <v>15</v>
      </c>
      <c r="B16" s="3" t="s">
        <v>83</v>
      </c>
      <c r="C16" s="3" t="s">
        <v>70</v>
      </c>
      <c r="D16" s="3" t="s">
        <v>84</v>
      </c>
      <c r="E16" s="3"/>
      <c r="F16" s="3" t="s">
        <v>85</v>
      </c>
      <c r="G16" s="3" t="s">
        <v>15</v>
      </c>
      <c r="H16" s="2" t="n">
        <v>4.5</v>
      </c>
      <c r="I16" s="3" t="s">
        <v>44</v>
      </c>
      <c r="J16" s="3"/>
    </row>
    <row r="17" customFormat="false" ht="18" hidden="false" customHeight="true" outlineLevel="0" collapsed="false">
      <c r="A17" s="4" t="n">
        <v>16</v>
      </c>
      <c r="B17" s="5" t="s">
        <v>86</v>
      </c>
      <c r="C17" s="5" t="s">
        <v>70</v>
      </c>
      <c r="D17" s="5" t="s">
        <v>87</v>
      </c>
      <c r="E17" s="5" t="s">
        <v>88</v>
      </c>
      <c r="F17" s="5" t="s">
        <v>89</v>
      </c>
      <c r="G17" s="5" t="s">
        <v>15</v>
      </c>
      <c r="H17" s="4" t="n">
        <v>4.5</v>
      </c>
      <c r="I17" s="5" t="s">
        <v>44</v>
      </c>
      <c r="J17" s="5"/>
    </row>
    <row r="18" customFormat="false" ht="18" hidden="false" customHeight="true" outlineLevel="0" collapsed="false">
      <c r="A18" s="2" t="n">
        <v>17</v>
      </c>
      <c r="B18" s="3" t="s">
        <v>90</v>
      </c>
      <c r="C18" s="3" t="s">
        <v>91</v>
      </c>
      <c r="D18" s="3" t="s">
        <v>92</v>
      </c>
      <c r="E18" s="3" t="s">
        <v>93</v>
      </c>
      <c r="F18" s="3" t="s">
        <v>94</v>
      </c>
      <c r="G18" s="3" t="s">
        <v>15</v>
      </c>
      <c r="H18" s="2" t="n">
        <v>4.7</v>
      </c>
      <c r="I18" s="3" t="s">
        <v>23</v>
      </c>
      <c r="J18" s="3"/>
    </row>
    <row r="19" customFormat="false" ht="18" hidden="false" customHeight="true" outlineLevel="0" collapsed="false">
      <c r="A19" s="4" t="n">
        <v>18</v>
      </c>
      <c r="B19" s="5" t="s">
        <v>95</v>
      </c>
      <c r="C19" s="5" t="s">
        <v>96</v>
      </c>
      <c r="D19" s="5" t="s">
        <v>97</v>
      </c>
      <c r="E19" s="5" t="s">
        <v>98</v>
      </c>
      <c r="F19" s="5" t="s">
        <v>99</v>
      </c>
      <c r="G19" s="5" t="s">
        <v>15</v>
      </c>
      <c r="H19" s="4" t="s">
        <v>34</v>
      </c>
      <c r="I19" s="5" t="s">
        <v>23</v>
      </c>
      <c r="J19" s="5"/>
    </row>
    <row r="20" customFormat="false" ht="18" hidden="false" customHeight="true" outlineLevel="0" collapsed="false">
      <c r="A20" s="2" t="n">
        <v>19</v>
      </c>
      <c r="B20" s="3" t="s">
        <v>100</v>
      </c>
      <c r="C20" s="3" t="s">
        <v>101</v>
      </c>
      <c r="D20" s="3" t="s">
        <v>102</v>
      </c>
      <c r="E20" s="3" t="s">
        <v>103</v>
      </c>
      <c r="F20" s="3" t="s">
        <v>104</v>
      </c>
      <c r="G20" s="3" t="s">
        <v>15</v>
      </c>
      <c r="H20" s="2" t="s">
        <v>34</v>
      </c>
      <c r="I20" s="3" t="s">
        <v>23</v>
      </c>
      <c r="J20" s="3"/>
    </row>
    <row r="21" customFormat="false" ht="18" hidden="false" customHeight="true" outlineLevel="0" collapsed="false">
      <c r="A21" s="4" t="n">
        <v>20</v>
      </c>
      <c r="B21" s="5" t="s">
        <v>105</v>
      </c>
      <c r="C21" s="5" t="s">
        <v>106</v>
      </c>
      <c r="D21" s="5" t="s">
        <v>107</v>
      </c>
      <c r="E21" s="5" t="s">
        <v>108</v>
      </c>
      <c r="F21" s="5" t="s">
        <v>109</v>
      </c>
      <c r="G21" s="5" t="s">
        <v>15</v>
      </c>
      <c r="H21" s="4" t="n">
        <v>4.7</v>
      </c>
      <c r="I21" s="5" t="s">
        <v>44</v>
      </c>
      <c r="J21" s="5"/>
    </row>
    <row r="22" customFormat="false" ht="18" hidden="false" customHeight="true" outlineLevel="0" collapsed="false">
      <c r="A22" s="2" t="n">
        <v>21</v>
      </c>
      <c r="B22" s="3" t="s">
        <v>110</v>
      </c>
      <c r="C22" s="3" t="s">
        <v>111</v>
      </c>
      <c r="D22" s="3" t="s">
        <v>112</v>
      </c>
      <c r="E22" s="3" t="s">
        <v>113</v>
      </c>
      <c r="F22" s="3" t="s">
        <v>114</v>
      </c>
      <c r="G22" s="3" t="s">
        <v>15</v>
      </c>
      <c r="H22" s="2" t="n">
        <v>4</v>
      </c>
      <c r="I22" s="3" t="s">
        <v>23</v>
      </c>
      <c r="J22" s="3"/>
    </row>
    <row r="23" customFormat="false" ht="18" hidden="false" customHeight="true" outlineLevel="0" collapsed="false">
      <c r="A23" s="4" t="n">
        <v>22</v>
      </c>
      <c r="B23" s="5" t="s">
        <v>115</v>
      </c>
      <c r="C23" s="5" t="s">
        <v>19</v>
      </c>
      <c r="D23" s="5" t="s">
        <v>116</v>
      </c>
      <c r="E23" s="5" t="s">
        <v>117</v>
      </c>
      <c r="F23" s="5" t="s">
        <v>118</v>
      </c>
      <c r="G23" s="5" t="s">
        <v>15</v>
      </c>
      <c r="H23" s="4" t="n">
        <v>5</v>
      </c>
      <c r="I23" s="5" t="s">
        <v>44</v>
      </c>
      <c r="J23" s="5"/>
    </row>
    <row r="24" customFormat="false" ht="18" hidden="false" customHeight="true" outlineLevel="0" collapsed="false">
      <c r="A24" s="2" t="n">
        <v>23</v>
      </c>
      <c r="B24" s="3" t="s">
        <v>119</v>
      </c>
      <c r="C24" s="3" t="s">
        <v>106</v>
      </c>
      <c r="D24" s="3" t="s">
        <v>120</v>
      </c>
      <c r="E24" s="3" t="s">
        <v>121</v>
      </c>
      <c r="F24" s="3" t="s">
        <v>122</v>
      </c>
      <c r="G24" s="3" t="s">
        <v>15</v>
      </c>
      <c r="H24" s="2" t="s">
        <v>34</v>
      </c>
      <c r="I24" s="3" t="s">
        <v>44</v>
      </c>
      <c r="J24" s="3"/>
    </row>
    <row r="25" customFormat="false" ht="18" hidden="false" customHeight="true" outlineLevel="0" collapsed="false">
      <c r="A25" s="4" t="n">
        <v>24</v>
      </c>
      <c r="B25" s="5" t="s">
        <v>123</v>
      </c>
      <c r="C25" s="5" t="s">
        <v>124</v>
      </c>
      <c r="D25" s="5" t="s">
        <v>125</v>
      </c>
      <c r="E25" s="5" t="s">
        <v>126</v>
      </c>
      <c r="F25" s="5" t="s">
        <v>127</v>
      </c>
      <c r="G25" s="5" t="s">
        <v>15</v>
      </c>
      <c r="H25" s="4" t="n">
        <v>4.8</v>
      </c>
      <c r="I25" s="5" t="s">
        <v>44</v>
      </c>
      <c r="J25" s="5"/>
    </row>
    <row r="26" customFormat="false" ht="18" hidden="false" customHeight="true" outlineLevel="0" collapsed="false">
      <c r="A26" s="2" t="n">
        <v>25</v>
      </c>
      <c r="B26" s="3" t="s">
        <v>35</v>
      </c>
      <c r="C26" s="3" t="s">
        <v>128</v>
      </c>
      <c r="D26" s="3" t="s">
        <v>36</v>
      </c>
      <c r="E26" s="3" t="s">
        <v>129</v>
      </c>
      <c r="F26" s="3" t="s">
        <v>38</v>
      </c>
      <c r="G26" s="3" t="s">
        <v>130</v>
      </c>
      <c r="H26" s="2" t="n">
        <v>4.3</v>
      </c>
      <c r="I26" s="3" t="s">
        <v>23</v>
      </c>
      <c r="J26" s="3"/>
    </row>
    <row r="27" customFormat="false" ht="18" hidden="false" customHeight="true" outlineLevel="0" collapsed="false">
      <c r="A27" s="4" t="n">
        <v>26</v>
      </c>
      <c r="B27" s="5" t="s">
        <v>131</v>
      </c>
      <c r="C27" s="5" t="s">
        <v>132</v>
      </c>
      <c r="D27" s="5" t="s">
        <v>133</v>
      </c>
      <c r="E27" s="5" t="s">
        <v>134</v>
      </c>
      <c r="F27" s="5" t="s">
        <v>135</v>
      </c>
      <c r="G27" s="5" t="s">
        <v>130</v>
      </c>
      <c r="H27" s="4" t="n">
        <v>3.9</v>
      </c>
      <c r="I27" s="5" t="s">
        <v>44</v>
      </c>
      <c r="J27" s="5"/>
    </row>
    <row r="28" customFormat="false" ht="18" hidden="false" customHeight="true" outlineLevel="0" collapsed="false">
      <c r="A28" s="2" t="n">
        <v>27</v>
      </c>
      <c r="B28" s="3" t="s">
        <v>136</v>
      </c>
      <c r="C28" s="3" t="s">
        <v>137</v>
      </c>
      <c r="D28" s="3" t="s">
        <v>138</v>
      </c>
      <c r="E28" s="3" t="s">
        <v>139</v>
      </c>
      <c r="F28" s="3" t="s">
        <v>140</v>
      </c>
      <c r="G28" s="3" t="s">
        <v>130</v>
      </c>
      <c r="H28" s="2" t="n">
        <v>4.7</v>
      </c>
      <c r="I28" s="3" t="s">
        <v>44</v>
      </c>
      <c r="J28" s="3"/>
    </row>
    <row r="29" customFormat="false" ht="18" hidden="false" customHeight="true" outlineLevel="0" collapsed="false">
      <c r="A29" s="4" t="n">
        <v>28</v>
      </c>
      <c r="B29" s="5" t="s">
        <v>141</v>
      </c>
      <c r="C29" s="5" t="s">
        <v>142</v>
      </c>
      <c r="D29" s="5" t="s">
        <v>143</v>
      </c>
      <c r="E29" s="5" t="s">
        <v>144</v>
      </c>
      <c r="F29" s="5" t="s">
        <v>145</v>
      </c>
      <c r="G29" s="5" t="s">
        <v>130</v>
      </c>
      <c r="H29" s="4" t="n">
        <v>4.9</v>
      </c>
      <c r="I29" s="5" t="s">
        <v>44</v>
      </c>
      <c r="J29" s="5"/>
    </row>
    <row r="30" customFormat="false" ht="18" hidden="false" customHeight="true" outlineLevel="0" collapsed="false">
      <c r="A30" s="2" t="n">
        <v>29</v>
      </c>
      <c r="B30" s="3" t="s">
        <v>146</v>
      </c>
      <c r="C30" s="3" t="s">
        <v>147</v>
      </c>
      <c r="D30" s="3" t="s">
        <v>148</v>
      </c>
      <c r="E30" s="3" t="s">
        <v>149</v>
      </c>
      <c r="F30" s="3" t="s">
        <v>150</v>
      </c>
      <c r="G30" s="3" t="s">
        <v>130</v>
      </c>
      <c r="H30" s="2" t="n">
        <v>4.4</v>
      </c>
      <c r="I30" s="3" t="s">
        <v>44</v>
      </c>
      <c r="J30" s="3"/>
    </row>
    <row r="31" customFormat="false" ht="18" hidden="false" customHeight="true" outlineLevel="0" collapsed="false">
      <c r="A31" s="4" t="n">
        <v>30</v>
      </c>
      <c r="B31" s="5" t="s">
        <v>151</v>
      </c>
      <c r="C31" s="5" t="s">
        <v>152</v>
      </c>
      <c r="D31" s="5" t="s">
        <v>153</v>
      </c>
      <c r="E31" s="5"/>
      <c r="F31" s="5" t="s">
        <v>154</v>
      </c>
      <c r="G31" s="5" t="s">
        <v>130</v>
      </c>
      <c r="H31" s="4" t="s">
        <v>34</v>
      </c>
      <c r="I31" s="5" t="s">
        <v>44</v>
      </c>
      <c r="J31" s="5"/>
    </row>
    <row r="32" customFormat="false" ht="18" hidden="false" customHeight="true" outlineLevel="0" collapsed="false">
      <c r="A32" s="2" t="n">
        <v>31</v>
      </c>
      <c r="B32" s="3" t="s">
        <v>155</v>
      </c>
      <c r="C32" s="3" t="s">
        <v>156</v>
      </c>
      <c r="D32" s="3" t="s">
        <v>157</v>
      </c>
      <c r="E32" s="3" t="s">
        <v>158</v>
      </c>
      <c r="F32" s="3" t="s">
        <v>159</v>
      </c>
      <c r="G32" s="3" t="s">
        <v>130</v>
      </c>
      <c r="H32" s="2" t="n">
        <v>4.5</v>
      </c>
      <c r="I32" s="3" t="s">
        <v>44</v>
      </c>
      <c r="J32" s="3"/>
    </row>
    <row r="33" customFormat="false" ht="18" hidden="false" customHeight="true" outlineLevel="0" collapsed="false">
      <c r="A33" s="4" t="n">
        <v>32</v>
      </c>
      <c r="B33" s="5" t="s">
        <v>160</v>
      </c>
      <c r="C33" s="5" t="s">
        <v>147</v>
      </c>
      <c r="D33" s="5" t="s">
        <v>161</v>
      </c>
      <c r="E33" s="5" t="s">
        <v>162</v>
      </c>
      <c r="F33" s="5" t="s">
        <v>163</v>
      </c>
      <c r="G33" s="5" t="s">
        <v>164</v>
      </c>
      <c r="H33" s="4" t="n">
        <v>4.8</v>
      </c>
      <c r="I33" s="5" t="s">
        <v>44</v>
      </c>
      <c r="J33" s="5"/>
    </row>
    <row r="34" customFormat="false" ht="18" hidden="false" customHeight="true" outlineLevel="0" collapsed="false">
      <c r="A34" s="2" t="n">
        <v>33</v>
      </c>
      <c r="B34" s="3" t="s">
        <v>165</v>
      </c>
      <c r="C34" s="3" t="s">
        <v>128</v>
      </c>
      <c r="D34" s="3" t="s">
        <v>166</v>
      </c>
      <c r="E34" s="3" t="s">
        <v>167</v>
      </c>
      <c r="F34" s="3" t="s">
        <v>168</v>
      </c>
      <c r="G34" s="3" t="s">
        <v>130</v>
      </c>
      <c r="H34" s="2" t="n">
        <v>5</v>
      </c>
      <c r="I34" s="3" t="s">
        <v>44</v>
      </c>
      <c r="J34" s="3"/>
    </row>
    <row r="35" customFormat="false" ht="18" hidden="false" customHeight="true" outlineLevel="0" collapsed="false">
      <c r="A35" s="4" t="n">
        <v>34</v>
      </c>
      <c r="B35" s="5" t="s">
        <v>169</v>
      </c>
      <c r="C35" s="5" t="s">
        <v>170</v>
      </c>
      <c r="D35" s="5" t="s">
        <v>171</v>
      </c>
      <c r="E35" s="5" t="s">
        <v>172</v>
      </c>
      <c r="F35" s="5" t="s">
        <v>173</v>
      </c>
      <c r="G35" s="5" t="s">
        <v>130</v>
      </c>
      <c r="H35" s="4" t="s">
        <v>34</v>
      </c>
      <c r="I35" s="5" t="s">
        <v>44</v>
      </c>
      <c r="J35" s="5"/>
    </row>
    <row r="36" customFormat="false" ht="18" hidden="false" customHeight="true" outlineLevel="0" collapsed="false">
      <c r="A36" s="2" t="n">
        <v>35</v>
      </c>
      <c r="B36" s="3" t="s">
        <v>174</v>
      </c>
      <c r="C36" s="3" t="s">
        <v>175</v>
      </c>
      <c r="D36" s="3" t="s">
        <v>176</v>
      </c>
      <c r="E36" s="3" t="s">
        <v>177</v>
      </c>
      <c r="F36" s="3" t="s">
        <v>178</v>
      </c>
      <c r="G36" s="3" t="s">
        <v>130</v>
      </c>
      <c r="H36" s="2" t="n">
        <v>4.1</v>
      </c>
      <c r="I36" s="3" t="s">
        <v>44</v>
      </c>
      <c r="J36" s="3"/>
    </row>
    <row r="37" customFormat="false" ht="18" hidden="false" customHeight="true" outlineLevel="0" collapsed="false">
      <c r="A37" s="4" t="n">
        <v>36</v>
      </c>
      <c r="B37" s="5" t="s">
        <v>179</v>
      </c>
      <c r="C37" s="5" t="s">
        <v>180</v>
      </c>
      <c r="D37" s="5" t="s">
        <v>181</v>
      </c>
      <c r="E37" s="5" t="s">
        <v>182</v>
      </c>
      <c r="F37" s="5" t="s">
        <v>183</v>
      </c>
      <c r="G37" s="5" t="s">
        <v>130</v>
      </c>
      <c r="H37" s="4" t="n">
        <v>5</v>
      </c>
      <c r="I37" s="5" t="s">
        <v>44</v>
      </c>
      <c r="J37" s="5"/>
    </row>
    <row r="38" customFormat="false" ht="18" hidden="false" customHeight="true" outlineLevel="0" collapsed="false">
      <c r="A38" s="2" t="n">
        <v>37</v>
      </c>
      <c r="B38" s="3" t="s">
        <v>184</v>
      </c>
      <c r="C38" s="3" t="s">
        <v>185</v>
      </c>
      <c r="D38" s="3" t="s">
        <v>186</v>
      </c>
      <c r="E38" s="3" t="s">
        <v>187</v>
      </c>
      <c r="F38" s="3" t="s">
        <v>188</v>
      </c>
      <c r="G38" s="3" t="s">
        <v>130</v>
      </c>
      <c r="H38" s="2" t="n">
        <v>4.3</v>
      </c>
      <c r="I38" s="3" t="s">
        <v>44</v>
      </c>
      <c r="J38" s="3"/>
    </row>
    <row r="39" customFormat="false" ht="18" hidden="false" customHeight="true" outlineLevel="0" collapsed="false">
      <c r="A39" s="4" t="n">
        <v>38</v>
      </c>
      <c r="B39" s="5" t="s">
        <v>189</v>
      </c>
      <c r="C39" s="5" t="s">
        <v>185</v>
      </c>
      <c r="D39" s="5" t="s">
        <v>190</v>
      </c>
      <c r="E39" s="5" t="s">
        <v>191</v>
      </c>
      <c r="F39" s="5" t="s">
        <v>192</v>
      </c>
      <c r="G39" s="5" t="s">
        <v>130</v>
      </c>
      <c r="H39" s="4" t="s">
        <v>34</v>
      </c>
      <c r="I39" s="5" t="s">
        <v>44</v>
      </c>
      <c r="J39" s="5"/>
    </row>
    <row r="40" customFormat="false" ht="18" hidden="false" customHeight="true" outlineLevel="0" collapsed="false">
      <c r="A40" s="2" t="n">
        <v>39</v>
      </c>
      <c r="B40" s="3" t="s">
        <v>193</v>
      </c>
      <c r="C40" s="3" t="s">
        <v>194</v>
      </c>
      <c r="D40" s="3" t="s">
        <v>195</v>
      </c>
      <c r="E40" s="3" t="s">
        <v>196</v>
      </c>
      <c r="F40" s="3" t="s">
        <v>197</v>
      </c>
      <c r="G40" s="3" t="s">
        <v>130</v>
      </c>
      <c r="H40" s="2" t="n">
        <v>5</v>
      </c>
      <c r="I40" s="3" t="s">
        <v>44</v>
      </c>
      <c r="J40" s="3"/>
    </row>
    <row r="41" customFormat="false" ht="18" hidden="false" customHeight="true" outlineLevel="0" collapsed="false">
      <c r="A41" s="4" t="n">
        <v>40</v>
      </c>
      <c r="B41" s="5" t="s">
        <v>198</v>
      </c>
      <c r="C41" s="5" t="s">
        <v>180</v>
      </c>
      <c r="D41" s="5" t="s">
        <v>199</v>
      </c>
      <c r="E41" s="5" t="s">
        <v>200</v>
      </c>
      <c r="F41" s="5" t="s">
        <v>201</v>
      </c>
      <c r="G41" s="5" t="s">
        <v>130</v>
      </c>
      <c r="H41" s="4" t="s">
        <v>34</v>
      </c>
      <c r="I41" s="5" t="s">
        <v>44</v>
      </c>
      <c r="J41" s="5"/>
    </row>
    <row r="42" customFormat="false" ht="18" hidden="false" customHeight="true" outlineLevel="0" collapsed="false">
      <c r="A42" s="2" t="n">
        <v>41</v>
      </c>
      <c r="B42" s="3" t="s">
        <v>202</v>
      </c>
      <c r="C42" s="3" t="s">
        <v>203</v>
      </c>
      <c r="D42" s="3" t="s">
        <v>204</v>
      </c>
      <c r="E42" s="3" t="s">
        <v>205</v>
      </c>
      <c r="F42" s="3" t="s">
        <v>206</v>
      </c>
      <c r="G42" s="3" t="s">
        <v>130</v>
      </c>
      <c r="H42" s="2" t="s">
        <v>34</v>
      </c>
      <c r="I42" s="3" t="s">
        <v>44</v>
      </c>
      <c r="J42" s="3"/>
    </row>
    <row r="43" customFormat="false" ht="18" hidden="false" customHeight="true" outlineLevel="0" collapsed="false">
      <c r="A43" s="4" t="n">
        <v>42</v>
      </c>
      <c r="B43" s="5" t="s">
        <v>207</v>
      </c>
      <c r="C43" s="5" t="s">
        <v>208</v>
      </c>
      <c r="D43" s="5" t="s">
        <v>209</v>
      </c>
      <c r="E43" s="5" t="s">
        <v>210</v>
      </c>
      <c r="F43" s="5" t="s">
        <v>211</v>
      </c>
      <c r="G43" s="5" t="s">
        <v>130</v>
      </c>
      <c r="H43" s="4" t="n">
        <v>4.5</v>
      </c>
      <c r="I43" s="5" t="s">
        <v>44</v>
      </c>
      <c r="J43" s="5"/>
    </row>
    <row r="44" customFormat="false" ht="18" hidden="false" customHeight="true" outlineLevel="0" collapsed="false">
      <c r="A44" s="2" t="n">
        <v>43</v>
      </c>
      <c r="B44" s="3" t="s">
        <v>212</v>
      </c>
      <c r="C44" s="3" t="s">
        <v>180</v>
      </c>
      <c r="D44" s="3" t="s">
        <v>213</v>
      </c>
      <c r="E44" s="3" t="s">
        <v>214</v>
      </c>
      <c r="F44" s="3" t="s">
        <v>215</v>
      </c>
      <c r="G44" s="3" t="s">
        <v>130</v>
      </c>
      <c r="H44" s="2" t="n">
        <v>5</v>
      </c>
      <c r="I44" s="3" t="s">
        <v>44</v>
      </c>
      <c r="J44" s="3"/>
    </row>
    <row r="45" customFormat="false" ht="18" hidden="false" customHeight="true" outlineLevel="0" collapsed="false">
      <c r="A45" s="4" t="n">
        <v>44</v>
      </c>
      <c r="B45" s="5" t="s">
        <v>216</v>
      </c>
      <c r="C45" s="5" t="s">
        <v>180</v>
      </c>
      <c r="D45" s="5" t="s">
        <v>217</v>
      </c>
      <c r="E45" s="5" t="s">
        <v>218</v>
      </c>
      <c r="F45" s="5" t="s">
        <v>219</v>
      </c>
      <c r="G45" s="5" t="s">
        <v>130</v>
      </c>
      <c r="H45" s="4" t="n">
        <v>4.5</v>
      </c>
      <c r="I45" s="5" t="s">
        <v>44</v>
      </c>
      <c r="J45" s="5"/>
    </row>
    <row r="46" customFormat="false" ht="18" hidden="false" customHeight="true" outlineLevel="0" collapsed="false">
      <c r="A46" s="2" t="n">
        <v>45</v>
      </c>
      <c r="B46" s="3" t="s">
        <v>220</v>
      </c>
      <c r="C46" s="3" t="s">
        <v>180</v>
      </c>
      <c r="D46" s="3" t="s">
        <v>221</v>
      </c>
      <c r="E46" s="3" t="s">
        <v>222</v>
      </c>
      <c r="F46" s="3" t="s">
        <v>223</v>
      </c>
      <c r="G46" s="3" t="s">
        <v>130</v>
      </c>
      <c r="H46" s="2" t="s">
        <v>34</v>
      </c>
      <c r="I46" s="3" t="s">
        <v>44</v>
      </c>
      <c r="J46" s="3"/>
    </row>
    <row r="47" customFormat="false" ht="18" hidden="false" customHeight="true" outlineLevel="0" collapsed="false">
      <c r="A47" s="4" t="n">
        <v>46</v>
      </c>
      <c r="B47" s="5" t="s">
        <v>224</v>
      </c>
      <c r="C47" s="5" t="s">
        <v>225</v>
      </c>
      <c r="D47" s="5" t="s">
        <v>226</v>
      </c>
      <c r="E47" s="5" t="s">
        <v>227</v>
      </c>
      <c r="F47" s="5" t="s">
        <v>228</v>
      </c>
      <c r="G47" s="5" t="s">
        <v>130</v>
      </c>
      <c r="H47" s="4" t="n">
        <v>5</v>
      </c>
      <c r="I47" s="5" t="s">
        <v>44</v>
      </c>
      <c r="J47" s="5"/>
    </row>
    <row r="48" customFormat="false" ht="18" hidden="false" customHeight="true" outlineLevel="0" collapsed="false">
      <c r="A48" s="2" t="n">
        <v>47</v>
      </c>
      <c r="B48" s="3" t="s">
        <v>229</v>
      </c>
      <c r="C48" s="3" t="s">
        <v>180</v>
      </c>
      <c r="D48" s="3" t="s">
        <v>230</v>
      </c>
      <c r="E48" s="3" t="s">
        <v>231</v>
      </c>
      <c r="F48" s="3" t="s">
        <v>232</v>
      </c>
      <c r="G48" s="3" t="s">
        <v>130</v>
      </c>
      <c r="H48" s="2" t="n">
        <v>5</v>
      </c>
      <c r="I48" s="3" t="s">
        <v>44</v>
      </c>
      <c r="J48" s="3"/>
    </row>
    <row r="49" customFormat="false" ht="18" hidden="false" customHeight="true" outlineLevel="0" collapsed="false">
      <c r="A49" s="4" t="n">
        <v>48</v>
      </c>
      <c r="B49" s="5" t="s">
        <v>233</v>
      </c>
      <c r="C49" s="5" t="s">
        <v>234</v>
      </c>
      <c r="D49" s="5" t="s">
        <v>235</v>
      </c>
      <c r="E49" s="5" t="s">
        <v>236</v>
      </c>
      <c r="F49" s="5" t="s">
        <v>237</v>
      </c>
      <c r="G49" s="5" t="s">
        <v>130</v>
      </c>
      <c r="H49" s="4" t="n">
        <v>4.2</v>
      </c>
      <c r="I49" s="5" t="s">
        <v>44</v>
      </c>
      <c r="J49" s="5"/>
    </row>
    <row r="50" customFormat="false" ht="18" hidden="false" customHeight="true" outlineLevel="0" collapsed="false">
      <c r="A50" s="2" t="n">
        <v>49</v>
      </c>
      <c r="B50" s="3" t="s">
        <v>238</v>
      </c>
      <c r="C50" s="3" t="s">
        <v>180</v>
      </c>
      <c r="D50" s="3" t="s">
        <v>239</v>
      </c>
      <c r="E50" s="3" t="s">
        <v>240</v>
      </c>
      <c r="F50" s="3" t="s">
        <v>241</v>
      </c>
      <c r="G50" s="3" t="s">
        <v>130</v>
      </c>
      <c r="H50" s="2" t="n">
        <v>4.2</v>
      </c>
      <c r="I50" s="3" t="s">
        <v>44</v>
      </c>
      <c r="J50" s="3"/>
    </row>
    <row r="51" customFormat="false" ht="18" hidden="false" customHeight="true" outlineLevel="0" collapsed="false">
      <c r="A51" s="4" t="n">
        <v>50</v>
      </c>
      <c r="B51" s="5" t="s">
        <v>242</v>
      </c>
      <c r="C51" s="5" t="s">
        <v>243</v>
      </c>
      <c r="D51" s="5" t="s">
        <v>244</v>
      </c>
      <c r="E51" s="5" t="s">
        <v>245</v>
      </c>
      <c r="F51" s="5" t="s">
        <v>246</v>
      </c>
      <c r="G51" s="5" t="s">
        <v>130</v>
      </c>
      <c r="H51" s="4" t="n">
        <v>4.6</v>
      </c>
      <c r="I51" s="5" t="s">
        <v>44</v>
      </c>
      <c r="J51" s="5"/>
    </row>
    <row r="52" customFormat="false" ht="18" hidden="false" customHeight="true" outlineLevel="0" collapsed="false">
      <c r="A52" s="2" t="n">
        <v>51</v>
      </c>
      <c r="B52" s="3" t="s">
        <v>247</v>
      </c>
      <c r="C52" s="3" t="s">
        <v>248</v>
      </c>
      <c r="D52" s="3" t="s">
        <v>249</v>
      </c>
      <c r="E52" s="3" t="s">
        <v>250</v>
      </c>
      <c r="F52" s="3" t="s">
        <v>251</v>
      </c>
      <c r="G52" s="3" t="s">
        <v>130</v>
      </c>
      <c r="H52" s="2" t="n">
        <v>4.1</v>
      </c>
      <c r="I52" s="3" t="s">
        <v>44</v>
      </c>
      <c r="J52" s="3"/>
    </row>
    <row r="53" customFormat="false" ht="18" hidden="false" customHeight="true" outlineLevel="0" collapsed="false">
      <c r="A53" s="4" t="n">
        <v>52</v>
      </c>
      <c r="B53" s="5" t="s">
        <v>252</v>
      </c>
      <c r="C53" s="5" t="s">
        <v>253</v>
      </c>
      <c r="D53" s="5" t="s">
        <v>254</v>
      </c>
      <c r="E53" s="5" t="s">
        <v>255</v>
      </c>
      <c r="F53" s="5" t="s">
        <v>256</v>
      </c>
      <c r="G53" s="5" t="s">
        <v>130</v>
      </c>
      <c r="H53" s="4" t="s">
        <v>34</v>
      </c>
      <c r="I53" s="5" t="s">
        <v>44</v>
      </c>
      <c r="J53" s="5"/>
    </row>
    <row r="54" customFormat="false" ht="18" hidden="false" customHeight="true" outlineLevel="0" collapsed="false">
      <c r="A54" s="2" t="n">
        <v>53</v>
      </c>
      <c r="B54" s="3" t="s">
        <v>257</v>
      </c>
      <c r="C54" s="3" t="s">
        <v>258</v>
      </c>
      <c r="D54" s="3" t="s">
        <v>259</v>
      </c>
      <c r="E54" s="3" t="s">
        <v>260</v>
      </c>
      <c r="F54" s="3" t="s">
        <v>261</v>
      </c>
      <c r="G54" s="3" t="s">
        <v>130</v>
      </c>
      <c r="H54" s="2" t="n">
        <v>4.2</v>
      </c>
      <c r="I54" s="3" t="s">
        <v>44</v>
      </c>
      <c r="J54" s="3"/>
    </row>
    <row r="55" customFormat="false" ht="18" hidden="false" customHeight="true" outlineLevel="0" collapsed="false">
      <c r="A55" s="4" t="n">
        <v>54</v>
      </c>
      <c r="B55" s="5" t="s">
        <v>262</v>
      </c>
      <c r="C55" s="5" t="s">
        <v>180</v>
      </c>
      <c r="D55" s="5" t="s">
        <v>263</v>
      </c>
      <c r="E55" s="5"/>
      <c r="F55" s="5" t="s">
        <v>264</v>
      </c>
      <c r="G55" s="5" t="s">
        <v>130</v>
      </c>
      <c r="H55" s="4" t="s">
        <v>34</v>
      </c>
      <c r="I55" s="5" t="s">
        <v>44</v>
      </c>
      <c r="J55" s="5"/>
    </row>
    <row r="56" customFormat="false" ht="18" hidden="false" customHeight="true" outlineLevel="0" collapsed="false">
      <c r="A56" s="2" t="n">
        <v>55</v>
      </c>
      <c r="B56" s="3" t="s">
        <v>265</v>
      </c>
      <c r="C56" s="3" t="s">
        <v>266</v>
      </c>
      <c r="D56" s="3" t="s">
        <v>267</v>
      </c>
      <c r="E56" s="3" t="s">
        <v>268</v>
      </c>
      <c r="F56" s="3" t="s">
        <v>269</v>
      </c>
      <c r="G56" s="3" t="s">
        <v>130</v>
      </c>
      <c r="H56" s="2" t="n">
        <v>4.5</v>
      </c>
      <c r="I56" s="3" t="s">
        <v>44</v>
      </c>
      <c r="J56" s="3"/>
    </row>
    <row r="57" customFormat="false" ht="18" hidden="false" customHeight="true" outlineLevel="0" collapsed="false">
      <c r="A57" s="4" t="n">
        <v>56</v>
      </c>
      <c r="B57" s="5" t="s">
        <v>270</v>
      </c>
      <c r="C57" s="5" t="s">
        <v>271</v>
      </c>
      <c r="D57" s="5" t="s">
        <v>272</v>
      </c>
      <c r="E57" s="5" t="s">
        <v>273</v>
      </c>
      <c r="F57" s="5" t="s">
        <v>274</v>
      </c>
      <c r="G57" s="5" t="s">
        <v>130</v>
      </c>
      <c r="H57" s="4" t="n">
        <v>5</v>
      </c>
      <c r="I57" s="5" t="s">
        <v>44</v>
      </c>
      <c r="J57" s="5"/>
    </row>
    <row r="58" customFormat="false" ht="18" hidden="false" customHeight="true" outlineLevel="0" collapsed="false">
      <c r="A58" s="2" t="n">
        <v>57</v>
      </c>
      <c r="B58" s="3" t="s">
        <v>275</v>
      </c>
      <c r="C58" s="3" t="s">
        <v>276</v>
      </c>
      <c r="D58" s="3" t="s">
        <v>277</v>
      </c>
      <c r="E58" s="3" t="s">
        <v>278</v>
      </c>
      <c r="F58" s="3" t="s">
        <v>279</v>
      </c>
      <c r="G58" s="3" t="s">
        <v>130</v>
      </c>
      <c r="H58" s="2" t="s">
        <v>34</v>
      </c>
      <c r="I58" s="3" t="s">
        <v>44</v>
      </c>
      <c r="J58" s="3"/>
    </row>
    <row r="59" customFormat="false" ht="18" hidden="false" customHeight="true" outlineLevel="0" collapsed="false">
      <c r="A59" s="4" t="n">
        <v>58</v>
      </c>
      <c r="B59" s="5" t="s">
        <v>280</v>
      </c>
      <c r="C59" s="5" t="s">
        <v>281</v>
      </c>
      <c r="D59" s="5" t="s">
        <v>282</v>
      </c>
      <c r="E59" s="5" t="s">
        <v>283</v>
      </c>
      <c r="F59" s="5" t="s">
        <v>284</v>
      </c>
      <c r="G59" s="5" t="s">
        <v>130</v>
      </c>
      <c r="H59" s="4" t="n">
        <v>5</v>
      </c>
      <c r="I59" s="5" t="s">
        <v>44</v>
      </c>
      <c r="J59" s="5"/>
    </row>
    <row r="60" customFormat="false" ht="18" hidden="false" customHeight="true" outlineLevel="0" collapsed="false">
      <c r="A60" s="2" t="n">
        <v>59</v>
      </c>
      <c r="B60" s="3" t="s">
        <v>285</v>
      </c>
      <c r="C60" s="3" t="s">
        <v>185</v>
      </c>
      <c r="D60" s="3" t="s">
        <v>286</v>
      </c>
      <c r="E60" s="3" t="s">
        <v>287</v>
      </c>
      <c r="F60" s="3" t="s">
        <v>288</v>
      </c>
      <c r="G60" s="3" t="s">
        <v>130</v>
      </c>
      <c r="H60" s="2" t="n">
        <v>4.6</v>
      </c>
      <c r="I60" s="3" t="s">
        <v>44</v>
      </c>
      <c r="J60" s="3"/>
    </row>
    <row r="61" customFormat="false" ht="18" hidden="false" customHeight="true" outlineLevel="0" collapsed="false">
      <c r="A61" s="4" t="n">
        <v>60</v>
      </c>
      <c r="B61" s="5" t="s">
        <v>289</v>
      </c>
      <c r="C61" s="5" t="s">
        <v>290</v>
      </c>
      <c r="D61" s="5" t="s">
        <v>291</v>
      </c>
      <c r="E61" s="5" t="s">
        <v>292</v>
      </c>
      <c r="F61" s="5" t="s">
        <v>293</v>
      </c>
      <c r="G61" s="5" t="s">
        <v>130</v>
      </c>
      <c r="H61" s="4" t="n">
        <v>4.7</v>
      </c>
      <c r="I61" s="5" t="s">
        <v>44</v>
      </c>
      <c r="J61" s="5"/>
    </row>
    <row r="62" customFormat="false" ht="18" hidden="false" customHeight="true" outlineLevel="0" collapsed="false">
      <c r="A62" s="2" t="n">
        <v>61</v>
      </c>
      <c r="B62" s="3" t="s">
        <v>294</v>
      </c>
      <c r="C62" s="3" t="s">
        <v>295</v>
      </c>
      <c r="D62" s="3" t="s">
        <v>296</v>
      </c>
      <c r="E62" s="3" t="s">
        <v>297</v>
      </c>
      <c r="F62" s="3" t="s">
        <v>298</v>
      </c>
      <c r="G62" s="3" t="s">
        <v>130</v>
      </c>
      <c r="H62" s="2" t="n">
        <v>5</v>
      </c>
      <c r="I62" s="3" t="s">
        <v>44</v>
      </c>
      <c r="J62" s="3"/>
    </row>
    <row r="63" customFormat="false" ht="18" hidden="false" customHeight="true" outlineLevel="0" collapsed="false">
      <c r="A63" s="4" t="n">
        <v>62</v>
      </c>
      <c r="B63" s="5" t="s">
        <v>299</v>
      </c>
      <c r="C63" s="5" t="s">
        <v>243</v>
      </c>
      <c r="D63" s="5" t="s">
        <v>300</v>
      </c>
      <c r="E63" s="5" t="s">
        <v>301</v>
      </c>
      <c r="F63" s="5" t="s">
        <v>302</v>
      </c>
      <c r="G63" s="5" t="s">
        <v>130</v>
      </c>
      <c r="H63" s="4" t="n">
        <v>4.5</v>
      </c>
      <c r="I63" s="5" t="s">
        <v>44</v>
      </c>
      <c r="J63" s="5"/>
    </row>
    <row r="64" customFormat="false" ht="18" hidden="false" customHeight="true" outlineLevel="0" collapsed="false">
      <c r="A64" s="2" t="n">
        <v>63</v>
      </c>
      <c r="B64" s="3" t="s">
        <v>303</v>
      </c>
      <c r="C64" s="3" t="s">
        <v>290</v>
      </c>
      <c r="D64" s="3" t="s">
        <v>304</v>
      </c>
      <c r="E64" s="3" t="s">
        <v>305</v>
      </c>
      <c r="F64" s="3" t="s">
        <v>306</v>
      </c>
      <c r="G64" s="3" t="s">
        <v>130</v>
      </c>
      <c r="H64" s="2" t="n">
        <v>5</v>
      </c>
      <c r="I64" s="3" t="s">
        <v>44</v>
      </c>
      <c r="J64" s="3"/>
    </row>
    <row r="65" customFormat="false" ht="18" hidden="false" customHeight="true" outlineLevel="0" collapsed="false">
      <c r="A65" s="4" t="n">
        <v>64</v>
      </c>
      <c r="B65" s="5" t="s">
        <v>307</v>
      </c>
      <c r="C65" s="5" t="s">
        <v>248</v>
      </c>
      <c r="D65" s="5" t="s">
        <v>308</v>
      </c>
      <c r="E65" s="5" t="s">
        <v>309</v>
      </c>
      <c r="F65" s="5" t="s">
        <v>310</v>
      </c>
      <c r="G65" s="5" t="s">
        <v>130</v>
      </c>
      <c r="H65" s="4" t="n">
        <v>4</v>
      </c>
      <c r="I65" s="5" t="s">
        <v>44</v>
      </c>
      <c r="J65" s="5"/>
    </row>
    <row r="66" customFormat="false" ht="18" hidden="false" customHeight="true" outlineLevel="0" collapsed="false">
      <c r="A66" s="2" t="n">
        <v>65</v>
      </c>
      <c r="B66" s="3" t="s">
        <v>311</v>
      </c>
      <c r="C66" s="3" t="s">
        <v>312</v>
      </c>
      <c r="D66" s="3" t="s">
        <v>313</v>
      </c>
      <c r="E66" s="3" t="s">
        <v>314</v>
      </c>
      <c r="F66" s="3" t="s">
        <v>315</v>
      </c>
      <c r="G66" s="3" t="s">
        <v>130</v>
      </c>
      <c r="H66" s="2" t="n">
        <v>4.8</v>
      </c>
      <c r="I66" s="3" t="s">
        <v>44</v>
      </c>
      <c r="J66" s="3"/>
    </row>
    <row r="67" customFormat="false" ht="18" hidden="false" customHeight="true" outlineLevel="0" collapsed="false">
      <c r="A67" s="4" t="n">
        <v>66</v>
      </c>
      <c r="B67" s="5" t="s">
        <v>316</v>
      </c>
      <c r="C67" s="5" t="s">
        <v>295</v>
      </c>
      <c r="D67" s="5" t="s">
        <v>317</v>
      </c>
      <c r="E67" s="5" t="s">
        <v>318</v>
      </c>
      <c r="F67" s="5" t="s">
        <v>319</v>
      </c>
      <c r="G67" s="5" t="s">
        <v>130</v>
      </c>
      <c r="H67" s="4" t="n">
        <v>5</v>
      </c>
      <c r="I67" s="5" t="s">
        <v>44</v>
      </c>
      <c r="J67" s="5"/>
    </row>
    <row r="68" customFormat="false" ht="18" hidden="false" customHeight="true" outlineLevel="0" collapsed="false">
      <c r="A68" s="2" t="n">
        <v>67</v>
      </c>
      <c r="B68" s="3" t="s">
        <v>320</v>
      </c>
      <c r="C68" s="3" t="s">
        <v>321</v>
      </c>
      <c r="D68" s="3" t="s">
        <v>322</v>
      </c>
      <c r="E68" s="3" t="s">
        <v>323</v>
      </c>
      <c r="F68" s="3" t="s">
        <v>324</v>
      </c>
      <c r="G68" s="3" t="s">
        <v>130</v>
      </c>
      <c r="H68" s="2" t="n">
        <v>4.4</v>
      </c>
      <c r="I68" s="3" t="s">
        <v>44</v>
      </c>
      <c r="J68" s="3"/>
    </row>
    <row r="69" customFormat="false" ht="18" hidden="false" customHeight="true" outlineLevel="0" collapsed="false">
      <c r="A69" s="4" t="n">
        <v>68</v>
      </c>
      <c r="B69" s="5" t="s">
        <v>325</v>
      </c>
      <c r="C69" s="5" t="s">
        <v>248</v>
      </c>
      <c r="D69" s="5" t="s">
        <v>326</v>
      </c>
      <c r="E69" s="5" t="s">
        <v>327</v>
      </c>
      <c r="F69" s="5" t="s">
        <v>328</v>
      </c>
      <c r="G69" s="5" t="s">
        <v>130</v>
      </c>
      <c r="H69" s="4" t="s">
        <v>34</v>
      </c>
      <c r="I69" s="5" t="s">
        <v>44</v>
      </c>
      <c r="J69" s="5"/>
    </row>
    <row r="70" customFormat="false" ht="18" hidden="false" customHeight="true" outlineLevel="0" collapsed="false">
      <c r="A70" s="2" t="n">
        <v>69</v>
      </c>
      <c r="B70" s="3" t="s">
        <v>329</v>
      </c>
      <c r="C70" s="3" t="s">
        <v>330</v>
      </c>
      <c r="D70" s="3" t="s">
        <v>331</v>
      </c>
      <c r="E70" s="3" t="s">
        <v>332</v>
      </c>
      <c r="F70" s="3" t="s">
        <v>333</v>
      </c>
      <c r="G70" s="3" t="s">
        <v>130</v>
      </c>
      <c r="H70" s="2" t="n">
        <v>3.7</v>
      </c>
      <c r="I70" s="3" t="s">
        <v>44</v>
      </c>
      <c r="J70" s="3"/>
    </row>
    <row r="71" customFormat="false" ht="18" hidden="false" customHeight="true" outlineLevel="0" collapsed="false">
      <c r="A71" s="4" t="n">
        <v>70</v>
      </c>
      <c r="B71" s="5" t="s">
        <v>334</v>
      </c>
      <c r="C71" s="5" t="s">
        <v>330</v>
      </c>
      <c r="D71" s="5" t="s">
        <v>335</v>
      </c>
      <c r="E71" s="5" t="s">
        <v>336</v>
      </c>
      <c r="F71" s="5" t="s">
        <v>337</v>
      </c>
      <c r="G71" s="5" t="s">
        <v>130</v>
      </c>
      <c r="H71" s="4" t="n">
        <v>4.5</v>
      </c>
      <c r="I71" s="5" t="s">
        <v>44</v>
      </c>
      <c r="J71" s="5"/>
    </row>
    <row r="72" customFormat="false" ht="18" hidden="false" customHeight="true" outlineLevel="0" collapsed="false">
      <c r="A72" s="2" t="n">
        <v>71</v>
      </c>
      <c r="B72" s="3" t="s">
        <v>338</v>
      </c>
      <c r="C72" s="3" t="s">
        <v>339</v>
      </c>
      <c r="D72" s="3" t="s">
        <v>340</v>
      </c>
      <c r="E72" s="3" t="s">
        <v>341</v>
      </c>
      <c r="F72" s="3" t="s">
        <v>342</v>
      </c>
      <c r="G72" s="3" t="s">
        <v>130</v>
      </c>
      <c r="H72" s="2" t="n">
        <v>4.4</v>
      </c>
      <c r="I72" s="3" t="s">
        <v>44</v>
      </c>
      <c r="J72" s="3"/>
    </row>
    <row r="73" customFormat="false" ht="18" hidden="false" customHeight="true" outlineLevel="0" collapsed="false">
      <c r="A73" s="4" t="n">
        <v>72</v>
      </c>
      <c r="B73" s="5" t="s">
        <v>343</v>
      </c>
      <c r="C73" s="5" t="s">
        <v>248</v>
      </c>
      <c r="D73" s="5" t="s">
        <v>344</v>
      </c>
      <c r="E73" s="5" t="s">
        <v>345</v>
      </c>
      <c r="F73" s="5" t="s">
        <v>346</v>
      </c>
      <c r="G73" s="5" t="s">
        <v>130</v>
      </c>
      <c r="H73" s="4" t="n">
        <v>4.9</v>
      </c>
      <c r="I73" s="5" t="s">
        <v>44</v>
      </c>
      <c r="J73" s="5"/>
    </row>
    <row r="74" customFormat="false" ht="18" hidden="false" customHeight="true" outlineLevel="0" collapsed="false">
      <c r="A74" s="2" t="n">
        <v>73</v>
      </c>
      <c r="B74" s="3" t="s">
        <v>347</v>
      </c>
      <c r="C74" s="3" t="s">
        <v>185</v>
      </c>
      <c r="D74" s="3" t="s">
        <v>348</v>
      </c>
      <c r="E74" s="3" t="s">
        <v>349</v>
      </c>
      <c r="F74" s="3" t="s">
        <v>350</v>
      </c>
      <c r="G74" s="3" t="s">
        <v>130</v>
      </c>
      <c r="H74" s="2" t="n">
        <v>4.8</v>
      </c>
      <c r="I74" s="3" t="s">
        <v>44</v>
      </c>
      <c r="J74" s="3"/>
    </row>
    <row r="75" customFormat="false" ht="18" hidden="false" customHeight="true" outlineLevel="0" collapsed="false">
      <c r="A75" s="4" t="n">
        <v>74</v>
      </c>
      <c r="B75" s="5" t="s">
        <v>351</v>
      </c>
      <c r="C75" s="5" t="s">
        <v>352</v>
      </c>
      <c r="D75" s="5" t="s">
        <v>353</v>
      </c>
      <c r="E75" s="5" t="s">
        <v>354</v>
      </c>
      <c r="F75" s="5" t="s">
        <v>355</v>
      </c>
      <c r="G75" s="5" t="s">
        <v>130</v>
      </c>
      <c r="H75" s="4" t="n">
        <v>3.7</v>
      </c>
      <c r="I75" s="5" t="s">
        <v>44</v>
      </c>
      <c r="J75" s="5"/>
    </row>
    <row r="76" customFormat="false" ht="18" hidden="false" customHeight="true" outlineLevel="0" collapsed="false">
      <c r="A76" s="2" t="n">
        <v>75</v>
      </c>
      <c r="B76" s="3" t="s">
        <v>356</v>
      </c>
      <c r="C76" s="3" t="s">
        <v>357</v>
      </c>
      <c r="D76" s="3" t="s">
        <v>358</v>
      </c>
      <c r="E76" s="3" t="s">
        <v>359</v>
      </c>
      <c r="F76" s="3" t="s">
        <v>360</v>
      </c>
      <c r="G76" s="3" t="s">
        <v>130</v>
      </c>
      <c r="H76" s="2" t="s">
        <v>34</v>
      </c>
      <c r="I76" s="3" t="s">
        <v>23</v>
      </c>
      <c r="J76" s="3"/>
    </row>
    <row r="77" customFormat="false" ht="18" hidden="false" customHeight="true" outlineLevel="0" collapsed="false">
      <c r="A77" s="4" t="n">
        <v>76</v>
      </c>
      <c r="B77" s="5" t="s">
        <v>361</v>
      </c>
      <c r="C77" s="5" t="s">
        <v>362</v>
      </c>
      <c r="D77" s="5" t="s">
        <v>363</v>
      </c>
      <c r="E77" s="5" t="s">
        <v>364</v>
      </c>
      <c r="F77" s="5" t="s">
        <v>365</v>
      </c>
      <c r="G77" s="5" t="s">
        <v>366</v>
      </c>
      <c r="H77" s="4" t="n">
        <v>3</v>
      </c>
      <c r="I77" s="5" t="s">
        <v>44</v>
      </c>
      <c r="J77" s="5"/>
    </row>
    <row r="78" customFormat="false" ht="18" hidden="false" customHeight="true" outlineLevel="0" collapsed="false">
      <c r="A78" s="2" t="n">
        <v>77</v>
      </c>
      <c r="B78" s="3" t="s">
        <v>367</v>
      </c>
      <c r="C78" s="3" t="s">
        <v>185</v>
      </c>
      <c r="D78" s="3" t="s">
        <v>368</v>
      </c>
      <c r="E78" s="3" t="s">
        <v>369</v>
      </c>
      <c r="F78" s="3" t="s">
        <v>370</v>
      </c>
      <c r="G78" s="3" t="s">
        <v>130</v>
      </c>
      <c r="H78" s="2" t="n">
        <v>5</v>
      </c>
      <c r="I78" s="3" t="s">
        <v>44</v>
      </c>
      <c r="J78" s="3"/>
    </row>
    <row r="79" customFormat="false" ht="18" hidden="false" customHeight="true" outlineLevel="0" collapsed="false">
      <c r="A79" s="4" t="n">
        <v>78</v>
      </c>
      <c r="B79" s="5" t="s">
        <v>371</v>
      </c>
      <c r="C79" s="5" t="s">
        <v>208</v>
      </c>
      <c r="D79" s="5" t="s">
        <v>372</v>
      </c>
      <c r="E79" s="5" t="s">
        <v>373</v>
      </c>
      <c r="F79" s="5" t="s">
        <v>374</v>
      </c>
      <c r="G79" s="5" t="s">
        <v>130</v>
      </c>
      <c r="H79" s="4" t="n">
        <v>5</v>
      </c>
      <c r="I79" s="5" t="s">
        <v>44</v>
      </c>
      <c r="J79" s="5"/>
    </row>
    <row r="80" customFormat="false" ht="18" hidden="false" customHeight="true" outlineLevel="0" collapsed="false">
      <c r="A80" s="2" t="n">
        <v>79</v>
      </c>
      <c r="B80" s="3" t="s">
        <v>375</v>
      </c>
      <c r="C80" s="3" t="s">
        <v>376</v>
      </c>
      <c r="D80" s="3" t="s">
        <v>377</v>
      </c>
      <c r="E80" s="3" t="s">
        <v>378</v>
      </c>
      <c r="F80" s="3" t="s">
        <v>379</v>
      </c>
      <c r="G80" s="3" t="s">
        <v>130</v>
      </c>
      <c r="H80" s="2" t="n">
        <v>5</v>
      </c>
      <c r="I80" s="3" t="s">
        <v>44</v>
      </c>
      <c r="J80" s="3"/>
    </row>
    <row r="81" customFormat="false" ht="18" hidden="false" customHeight="true" outlineLevel="0" collapsed="false">
      <c r="A81" s="4" t="n">
        <v>80</v>
      </c>
      <c r="B81" s="5" t="s">
        <v>380</v>
      </c>
      <c r="C81" s="5" t="s">
        <v>381</v>
      </c>
      <c r="D81" s="5" t="s">
        <v>382</v>
      </c>
      <c r="E81" s="5" t="s">
        <v>383</v>
      </c>
      <c r="F81" s="5" t="s">
        <v>384</v>
      </c>
      <c r="G81" s="5" t="s">
        <v>130</v>
      </c>
      <c r="H81" s="4" t="s">
        <v>34</v>
      </c>
      <c r="I81" s="5" t="s">
        <v>44</v>
      </c>
      <c r="J81" s="5"/>
    </row>
    <row r="82" customFormat="false" ht="18" hidden="false" customHeight="true" outlineLevel="0" collapsed="false">
      <c r="A82" s="2" t="n">
        <v>81</v>
      </c>
      <c r="B82" s="3" t="s">
        <v>385</v>
      </c>
      <c r="C82" s="3" t="s">
        <v>362</v>
      </c>
      <c r="D82" s="3" t="s">
        <v>386</v>
      </c>
      <c r="E82" s="3" t="s">
        <v>387</v>
      </c>
      <c r="F82" s="3" t="s">
        <v>388</v>
      </c>
      <c r="G82" s="3" t="s">
        <v>130</v>
      </c>
      <c r="H82" s="2" t="n">
        <v>4.3</v>
      </c>
      <c r="I82" s="3" t="s">
        <v>44</v>
      </c>
      <c r="J82" s="3"/>
    </row>
    <row r="83" customFormat="false" ht="15" hidden="false" customHeight="false" outlineLevel="0" collapsed="false">
      <c r="A83" s="2" t="n">
        <v>82</v>
      </c>
      <c r="B83" s="3" t="s">
        <v>389</v>
      </c>
      <c r="C83" s="3" t="s">
        <v>180</v>
      </c>
      <c r="D83" s="3" t="s">
        <v>390</v>
      </c>
      <c r="E83" s="3" t="s">
        <v>391</v>
      </c>
      <c r="F83" s="3" t="s">
        <v>392</v>
      </c>
      <c r="G83" s="3" t="s">
        <v>130</v>
      </c>
      <c r="H83" s="2" t="s">
        <v>34</v>
      </c>
      <c r="I83" s="3" t="s">
        <v>23</v>
      </c>
      <c r="J83" s="3"/>
    </row>
    <row r="84" customFormat="false" ht="15" hidden="false" customHeight="false" outlineLevel="0" collapsed="false">
      <c r="A84" s="2" t="n">
        <v>83</v>
      </c>
      <c r="B84" s="3" t="s">
        <v>393</v>
      </c>
      <c r="C84" s="3" t="s">
        <v>180</v>
      </c>
      <c r="D84" s="3" t="s">
        <v>394</v>
      </c>
      <c r="E84" s="3" t="s">
        <v>395</v>
      </c>
      <c r="F84" s="3" t="s">
        <v>396</v>
      </c>
      <c r="G84" s="3" t="s">
        <v>130</v>
      </c>
      <c r="H84" s="2" t="s">
        <v>34</v>
      </c>
      <c r="I84" s="3" t="s">
        <v>23</v>
      </c>
      <c r="J84" s="3"/>
    </row>
    <row r="85" customFormat="false" ht="22.35" hidden="false" customHeight="false" outlineLevel="0" collapsed="false">
      <c r="A85" s="2" t="n">
        <v>84</v>
      </c>
      <c r="B85" s="3" t="s">
        <v>397</v>
      </c>
      <c r="C85" s="3" t="s">
        <v>180</v>
      </c>
      <c r="D85" s="3" t="s">
        <v>398</v>
      </c>
      <c r="E85" s="3" t="s">
        <v>391</v>
      </c>
      <c r="F85" s="3" t="s">
        <v>399</v>
      </c>
      <c r="G85" s="3" t="s">
        <v>130</v>
      </c>
      <c r="H85" s="2" t="s">
        <v>34</v>
      </c>
      <c r="I85" s="3" t="s">
        <v>23</v>
      </c>
      <c r="J85" s="3"/>
    </row>
    <row r="86" customFormat="false" ht="15" hidden="false" customHeight="false" outlineLevel="0" collapsed="false">
      <c r="A86" s="2" t="n">
        <v>85</v>
      </c>
      <c r="B86" s="3" t="s">
        <v>400</v>
      </c>
      <c r="C86" s="3" t="s">
        <v>180</v>
      </c>
      <c r="D86" s="3" t="s">
        <v>401</v>
      </c>
      <c r="E86" s="3" t="s">
        <v>402</v>
      </c>
      <c r="F86" s="3" t="s">
        <v>403</v>
      </c>
      <c r="G86" s="3" t="s">
        <v>130</v>
      </c>
      <c r="H86" s="2" t="s">
        <v>34</v>
      </c>
      <c r="I86" s="3" t="s">
        <v>23</v>
      </c>
      <c r="J86" s="3"/>
    </row>
    <row r="87" customFormat="false" ht="15" hidden="false" customHeight="false" outlineLevel="0" collapsed="false">
      <c r="A87" s="2" t="n">
        <v>86</v>
      </c>
      <c r="B87" s="3" t="s">
        <v>404</v>
      </c>
      <c r="C87" s="3" t="s">
        <v>180</v>
      </c>
      <c r="D87" s="3" t="s">
        <v>405</v>
      </c>
      <c r="E87" s="3" t="s">
        <v>391</v>
      </c>
      <c r="F87" s="3" t="s">
        <v>406</v>
      </c>
      <c r="G87" s="3" t="s">
        <v>130</v>
      </c>
      <c r="H87" s="2" t="s">
        <v>34</v>
      </c>
      <c r="I87" s="3" t="s">
        <v>23</v>
      </c>
      <c r="J87" s="3"/>
    </row>
    <row r="88" customFormat="false" ht="15" hidden="false" customHeight="false" outlineLevel="0" collapsed="false">
      <c r="A88" s="2" t="n">
        <v>87</v>
      </c>
      <c r="B88" s="3" t="s">
        <v>407</v>
      </c>
      <c r="C88" s="3" t="s">
        <v>180</v>
      </c>
      <c r="D88" s="3" t="s">
        <v>408</v>
      </c>
      <c r="E88" s="3" t="s">
        <v>409</v>
      </c>
      <c r="F88" s="3" t="s">
        <v>410</v>
      </c>
      <c r="G88" s="3" t="s">
        <v>130</v>
      </c>
      <c r="H88" s="2" t="s">
        <v>34</v>
      </c>
      <c r="I88" s="3" t="s">
        <v>23</v>
      </c>
      <c r="J88" s="3"/>
    </row>
    <row r="89" customFormat="false" ht="15" hidden="false" customHeight="false" outlineLevel="0" collapsed="false">
      <c r="A89" s="2" t="n">
        <v>88</v>
      </c>
      <c r="B89" s="3" t="s">
        <v>411</v>
      </c>
      <c r="C89" s="3" t="s">
        <v>180</v>
      </c>
      <c r="D89" s="3" t="s">
        <v>412</v>
      </c>
      <c r="E89" s="3" t="s">
        <v>391</v>
      </c>
      <c r="F89" s="3" t="s">
        <v>228</v>
      </c>
      <c r="G89" s="3" t="s">
        <v>130</v>
      </c>
      <c r="H89" s="2" t="s">
        <v>34</v>
      </c>
      <c r="I89" s="3" t="s">
        <v>23</v>
      </c>
      <c r="J89" s="3"/>
    </row>
    <row r="90" customFormat="false" ht="15" hidden="false" customHeight="false" outlineLevel="0" collapsed="false">
      <c r="A90" s="2" t="n">
        <v>89</v>
      </c>
      <c r="B90" s="3" t="s">
        <v>413</v>
      </c>
      <c r="C90" s="3" t="s">
        <v>156</v>
      </c>
      <c r="D90" s="3" t="s">
        <v>414</v>
      </c>
      <c r="E90" s="3" t="s">
        <v>415</v>
      </c>
      <c r="F90" s="3" t="s">
        <v>416</v>
      </c>
      <c r="G90" s="3" t="s">
        <v>15</v>
      </c>
      <c r="H90" s="2" t="s">
        <v>34</v>
      </c>
      <c r="I90" s="3" t="s">
        <v>417</v>
      </c>
      <c r="J90" s="3"/>
    </row>
    <row r="91" customFormat="false" ht="15" hidden="false" customHeight="false" outlineLevel="0" collapsed="false">
      <c r="A91" s="2" t="n">
        <v>90</v>
      </c>
      <c r="B91" s="3" t="s">
        <v>418</v>
      </c>
      <c r="C91" s="3" t="s">
        <v>156</v>
      </c>
      <c r="D91" s="3" t="s">
        <v>419</v>
      </c>
      <c r="E91" s="3" t="s">
        <v>391</v>
      </c>
      <c r="F91" s="3" t="s">
        <v>420</v>
      </c>
      <c r="G91" s="3" t="s">
        <v>130</v>
      </c>
      <c r="H91" s="2" t="s">
        <v>34</v>
      </c>
      <c r="I91" s="3" t="s">
        <v>23</v>
      </c>
      <c r="J91" s="3"/>
    </row>
    <row r="92" customFormat="false" ht="15" hidden="false" customHeight="false" outlineLevel="0" collapsed="false">
      <c r="A92" s="2" t="n">
        <v>91</v>
      </c>
      <c r="B92" s="3" t="s">
        <v>421</v>
      </c>
      <c r="C92" s="3" t="s">
        <v>128</v>
      </c>
      <c r="D92" s="3" t="s">
        <v>422</v>
      </c>
      <c r="E92" s="3" t="s">
        <v>423</v>
      </c>
      <c r="F92" s="3" t="s">
        <v>391</v>
      </c>
      <c r="G92" s="3" t="s">
        <v>130</v>
      </c>
      <c r="H92" s="2" t="s">
        <v>34</v>
      </c>
      <c r="I92" s="3" t="s">
        <v>23</v>
      </c>
      <c r="J92" s="3"/>
    </row>
    <row r="93" customFormat="false" ht="15" hidden="false" customHeight="false" outlineLevel="0" collapsed="false">
      <c r="A93" s="2" t="n">
        <v>92</v>
      </c>
      <c r="B93" s="3" t="s">
        <v>424</v>
      </c>
      <c r="C93" s="3" t="s">
        <v>128</v>
      </c>
      <c r="D93" s="3" t="s">
        <v>425</v>
      </c>
      <c r="E93" s="3" t="s">
        <v>426</v>
      </c>
      <c r="F93" s="3" t="s">
        <v>391</v>
      </c>
      <c r="G93" s="3" t="s">
        <v>130</v>
      </c>
      <c r="H93" s="2" t="s">
        <v>34</v>
      </c>
      <c r="I93" s="3" t="s">
        <v>23</v>
      </c>
      <c r="J93" s="3"/>
    </row>
    <row r="94" customFormat="false" ht="15" hidden="false" customHeight="false" outlineLevel="0" collapsed="false">
      <c r="A94" s="2" t="n">
        <v>93</v>
      </c>
      <c r="B94" s="3" t="s">
        <v>427</v>
      </c>
      <c r="C94" s="3" t="s">
        <v>128</v>
      </c>
      <c r="D94" s="3" t="s">
        <v>428</v>
      </c>
      <c r="E94" s="3" t="s">
        <v>429</v>
      </c>
      <c r="F94" s="3" t="s">
        <v>391</v>
      </c>
      <c r="G94" s="3" t="s">
        <v>130</v>
      </c>
      <c r="H94" s="2" t="s">
        <v>34</v>
      </c>
      <c r="I94" s="3" t="s">
        <v>23</v>
      </c>
      <c r="J94" s="3"/>
    </row>
    <row r="95" customFormat="false" ht="15" hidden="false" customHeight="false" outlineLevel="0" collapsed="false">
      <c r="A95" s="2" t="n">
        <v>94</v>
      </c>
      <c r="B95" s="3" t="s">
        <v>430</v>
      </c>
      <c r="C95" s="3" t="s">
        <v>128</v>
      </c>
      <c r="D95" s="3" t="s">
        <v>431</v>
      </c>
      <c r="E95" s="3" t="s">
        <v>432</v>
      </c>
      <c r="F95" s="3" t="s">
        <v>433</v>
      </c>
      <c r="G95" s="3" t="s">
        <v>130</v>
      </c>
      <c r="H95" s="2" t="s">
        <v>34</v>
      </c>
      <c r="I95" s="3" t="s">
        <v>417</v>
      </c>
      <c r="J95" s="3"/>
    </row>
    <row r="96" customFormat="false" ht="15" hidden="false" customHeight="false" outlineLevel="0" collapsed="false">
      <c r="A96" s="2" t="n">
        <v>95</v>
      </c>
      <c r="B96" s="3" t="s">
        <v>434</v>
      </c>
      <c r="C96" s="3" t="s">
        <v>128</v>
      </c>
      <c r="D96" s="3" t="s">
        <v>435</v>
      </c>
      <c r="E96" s="3" t="s">
        <v>436</v>
      </c>
      <c r="F96" s="3" t="s">
        <v>391</v>
      </c>
      <c r="G96" s="3" t="s">
        <v>130</v>
      </c>
      <c r="H96" s="2" t="s">
        <v>34</v>
      </c>
      <c r="I96" s="3" t="s">
        <v>23</v>
      </c>
      <c r="J96" s="3"/>
    </row>
    <row r="97" customFormat="false" ht="15" hidden="false" customHeight="false" outlineLevel="0" collapsed="false">
      <c r="A97" s="2" t="n">
        <v>96</v>
      </c>
      <c r="B97" s="3" t="s">
        <v>437</v>
      </c>
      <c r="C97" s="3" t="s">
        <v>185</v>
      </c>
      <c r="D97" s="3" t="s">
        <v>438</v>
      </c>
      <c r="E97" s="3" t="s">
        <v>439</v>
      </c>
      <c r="F97" s="3" t="s">
        <v>440</v>
      </c>
      <c r="G97" s="3" t="s">
        <v>130</v>
      </c>
      <c r="H97" s="2" t="s">
        <v>34</v>
      </c>
      <c r="I97" s="3" t="s">
        <v>23</v>
      </c>
      <c r="J97" s="3"/>
    </row>
    <row r="98" customFormat="false" ht="15" hidden="false" customHeight="false" outlineLevel="0" collapsed="false">
      <c r="A98" s="2" t="n">
        <v>97</v>
      </c>
      <c r="B98" s="3" t="s">
        <v>441</v>
      </c>
      <c r="C98" s="3" t="s">
        <v>185</v>
      </c>
      <c r="D98" s="3" t="s">
        <v>442</v>
      </c>
      <c r="E98" s="3" t="s">
        <v>443</v>
      </c>
      <c r="F98" s="3" t="s">
        <v>444</v>
      </c>
      <c r="G98" s="3" t="s">
        <v>130</v>
      </c>
      <c r="H98" s="2" t="s">
        <v>34</v>
      </c>
      <c r="I98" s="3" t="s">
        <v>23</v>
      </c>
      <c r="J98" s="3"/>
    </row>
    <row r="99" customFormat="false" ht="15" hidden="false" customHeight="false" outlineLevel="0" collapsed="false">
      <c r="A99" s="2" t="n">
        <v>98</v>
      </c>
      <c r="B99" s="3" t="s">
        <v>445</v>
      </c>
      <c r="C99" s="3" t="s">
        <v>185</v>
      </c>
      <c r="D99" s="3" t="s">
        <v>446</v>
      </c>
      <c r="E99" s="3" t="s">
        <v>391</v>
      </c>
      <c r="F99" s="3" t="s">
        <v>447</v>
      </c>
      <c r="G99" s="3" t="s">
        <v>130</v>
      </c>
      <c r="H99" s="2" t="s">
        <v>34</v>
      </c>
      <c r="I99" s="3" t="s">
        <v>23</v>
      </c>
      <c r="J99" s="3"/>
    </row>
    <row r="100" customFormat="false" ht="15" hidden="false" customHeight="false" outlineLevel="0" collapsed="false">
      <c r="A100" s="2" t="n">
        <v>99</v>
      </c>
      <c r="B100" s="3" t="s">
        <v>448</v>
      </c>
      <c r="C100" s="3" t="s">
        <v>185</v>
      </c>
      <c r="D100" s="3" t="s">
        <v>84</v>
      </c>
      <c r="E100" s="3" t="s">
        <v>449</v>
      </c>
      <c r="F100" s="3" t="s">
        <v>85</v>
      </c>
      <c r="G100" s="3" t="s">
        <v>130</v>
      </c>
      <c r="H100" s="2" t="s">
        <v>34</v>
      </c>
      <c r="I100" s="3" t="s">
        <v>23</v>
      </c>
      <c r="J100" s="3"/>
    </row>
    <row r="101" customFormat="false" ht="15" hidden="false" customHeight="false" outlineLevel="0" collapsed="false">
      <c r="A101" s="2" t="n">
        <v>100</v>
      </c>
      <c r="B101" s="3" t="s">
        <v>450</v>
      </c>
      <c r="C101" s="3" t="s">
        <v>362</v>
      </c>
      <c r="D101" s="3" t="s">
        <v>451</v>
      </c>
      <c r="E101" s="3" t="s">
        <v>391</v>
      </c>
      <c r="F101" s="3" t="s">
        <v>452</v>
      </c>
      <c r="G101" s="3" t="s">
        <v>130</v>
      </c>
      <c r="H101" s="2" t="s">
        <v>34</v>
      </c>
      <c r="I101" s="3" t="s">
        <v>23</v>
      </c>
      <c r="J101" s="3"/>
    </row>
    <row r="102" customFormat="false" ht="15" hidden="false" customHeight="false" outlineLevel="0" collapsed="false">
      <c r="A102" s="2" t="n">
        <v>101</v>
      </c>
      <c r="B102" s="3" t="s">
        <v>453</v>
      </c>
      <c r="C102" s="3" t="s">
        <v>454</v>
      </c>
      <c r="D102" s="3" t="s">
        <v>455</v>
      </c>
      <c r="E102" s="3" t="s">
        <v>391</v>
      </c>
      <c r="F102" s="3" t="s">
        <v>456</v>
      </c>
      <c r="G102" s="3" t="s">
        <v>15</v>
      </c>
      <c r="H102" s="2" t="s">
        <v>34</v>
      </c>
      <c r="I102" s="3" t="s">
        <v>23</v>
      </c>
      <c r="J102" s="3"/>
    </row>
    <row r="103" customFormat="false" ht="15" hidden="false" customHeight="false" outlineLevel="0" collapsed="false">
      <c r="A103" s="2" t="n">
        <v>102</v>
      </c>
      <c r="B103" s="3" t="s">
        <v>457</v>
      </c>
      <c r="C103" s="3" t="s">
        <v>458</v>
      </c>
      <c r="D103" s="3" t="s">
        <v>459</v>
      </c>
      <c r="E103" s="3" t="s">
        <v>460</v>
      </c>
      <c r="F103" s="3" t="s">
        <v>461</v>
      </c>
      <c r="G103" s="3" t="s">
        <v>15</v>
      </c>
      <c r="H103" s="2" t="s">
        <v>34</v>
      </c>
      <c r="I103" s="3" t="s">
        <v>23</v>
      </c>
      <c r="J103" s="3"/>
    </row>
    <row r="104" customFormat="false" ht="15" hidden="false" customHeight="false" outlineLevel="0" collapsed="false">
      <c r="A104" s="2" t="n">
        <v>103</v>
      </c>
      <c r="B104" s="3" t="s">
        <v>462</v>
      </c>
      <c r="C104" s="3" t="s">
        <v>463</v>
      </c>
      <c r="D104" s="3" t="s">
        <v>464</v>
      </c>
      <c r="E104" s="3" t="s">
        <v>391</v>
      </c>
      <c r="F104" s="3" t="s">
        <v>465</v>
      </c>
      <c r="G104" s="3" t="s">
        <v>130</v>
      </c>
      <c r="H104" s="2" t="s">
        <v>34</v>
      </c>
      <c r="I104" s="3" t="s">
        <v>23</v>
      </c>
      <c r="J104" s="3"/>
    </row>
    <row r="105" customFormat="false" ht="15" hidden="false" customHeight="false" outlineLevel="0" collapsed="false">
      <c r="A105" s="2" t="n">
        <v>104</v>
      </c>
      <c r="B105" s="3" t="s">
        <v>466</v>
      </c>
      <c r="C105" s="3" t="s">
        <v>463</v>
      </c>
      <c r="D105" s="3" t="s">
        <v>467</v>
      </c>
      <c r="E105" s="3" t="s">
        <v>391</v>
      </c>
      <c r="F105" s="3" t="s">
        <v>468</v>
      </c>
      <c r="G105" s="3" t="s">
        <v>130</v>
      </c>
      <c r="H105" s="2" t="s">
        <v>34</v>
      </c>
      <c r="I105" s="3" t="s">
        <v>23</v>
      </c>
      <c r="J105" s="3"/>
    </row>
    <row r="106" customFormat="false" ht="15" hidden="false" customHeight="false" outlineLevel="0" collapsed="false">
      <c r="A106" s="2" t="n">
        <v>105</v>
      </c>
      <c r="B106" s="3" t="s">
        <v>469</v>
      </c>
      <c r="C106" s="3" t="s">
        <v>463</v>
      </c>
      <c r="D106" s="3" t="s">
        <v>470</v>
      </c>
      <c r="E106" s="3" t="s">
        <v>391</v>
      </c>
      <c r="F106" s="3" t="s">
        <v>471</v>
      </c>
      <c r="G106" s="3" t="s">
        <v>130</v>
      </c>
      <c r="H106" s="2" t="s">
        <v>34</v>
      </c>
      <c r="I106" s="3" t="s">
        <v>23</v>
      </c>
      <c r="J106" s="3"/>
    </row>
    <row r="107" customFormat="false" ht="15" hidden="false" customHeight="false" outlineLevel="0" collapsed="false">
      <c r="A107" s="2" t="n">
        <v>106</v>
      </c>
      <c r="B107" s="3" t="s">
        <v>472</v>
      </c>
      <c r="C107" s="3" t="s">
        <v>463</v>
      </c>
      <c r="D107" s="3" t="s">
        <v>473</v>
      </c>
      <c r="E107" s="3" t="s">
        <v>391</v>
      </c>
      <c r="F107" s="3" t="s">
        <v>474</v>
      </c>
      <c r="G107" s="3" t="s">
        <v>130</v>
      </c>
      <c r="H107" s="2" t="s">
        <v>34</v>
      </c>
      <c r="I107" s="3" t="s">
        <v>23</v>
      </c>
      <c r="J107" s="3"/>
    </row>
    <row r="108" customFormat="false" ht="15" hidden="false" customHeight="false" outlineLevel="0" collapsed="false">
      <c r="A108" s="2" t="n">
        <v>107</v>
      </c>
      <c r="B108" s="3" t="s">
        <v>475</v>
      </c>
      <c r="C108" s="3" t="s">
        <v>463</v>
      </c>
      <c r="D108" s="3" t="s">
        <v>476</v>
      </c>
      <c r="E108" s="3" t="s">
        <v>391</v>
      </c>
      <c r="F108" s="3" t="s">
        <v>477</v>
      </c>
      <c r="G108" s="3" t="s">
        <v>130</v>
      </c>
      <c r="H108" s="2" t="s">
        <v>34</v>
      </c>
      <c r="I108" s="3" t="s">
        <v>23</v>
      </c>
      <c r="J108" s="3"/>
    </row>
    <row r="109" customFormat="false" ht="15" hidden="false" customHeight="false" outlineLevel="0" collapsed="false">
      <c r="A109" s="2" t="n">
        <v>108</v>
      </c>
      <c r="B109" s="3" t="s">
        <v>478</v>
      </c>
      <c r="C109" s="3" t="s">
        <v>479</v>
      </c>
      <c r="D109" s="3" t="s">
        <v>480</v>
      </c>
      <c r="E109" s="3" t="s">
        <v>391</v>
      </c>
      <c r="F109" s="3" t="s">
        <v>481</v>
      </c>
      <c r="G109" s="3" t="s">
        <v>130</v>
      </c>
      <c r="H109" s="2" t="s">
        <v>34</v>
      </c>
      <c r="I109" s="3" t="s">
        <v>23</v>
      </c>
      <c r="J109" s="3"/>
    </row>
    <row r="110" customFormat="false" ht="15" hidden="false" customHeight="false" outlineLevel="0" collapsed="false">
      <c r="A110" s="2" t="n">
        <v>109</v>
      </c>
      <c r="B110" s="3" t="s">
        <v>482</v>
      </c>
      <c r="C110" s="3" t="s">
        <v>483</v>
      </c>
      <c r="D110" s="3" t="s">
        <v>484</v>
      </c>
      <c r="E110" s="3" t="s">
        <v>391</v>
      </c>
      <c r="F110" s="3" t="s">
        <v>485</v>
      </c>
      <c r="G110" s="3" t="s">
        <v>130</v>
      </c>
      <c r="H110" s="2" t="s">
        <v>34</v>
      </c>
      <c r="I110" s="3" t="s">
        <v>23</v>
      </c>
      <c r="J110" s="3"/>
    </row>
    <row r="111" customFormat="false" ht="15" hidden="false" customHeight="false" outlineLevel="0" collapsed="false">
      <c r="A111" s="2" t="n">
        <v>110</v>
      </c>
      <c r="B111" s="3" t="s">
        <v>486</v>
      </c>
      <c r="C111" s="3" t="s">
        <v>487</v>
      </c>
      <c r="D111" s="3" t="s">
        <v>488</v>
      </c>
      <c r="E111" s="3" t="s">
        <v>391</v>
      </c>
      <c r="F111" s="3" t="s">
        <v>489</v>
      </c>
      <c r="G111" s="3" t="s">
        <v>130</v>
      </c>
      <c r="H111" s="2" t="s">
        <v>34</v>
      </c>
      <c r="I111" s="3" t="s">
        <v>23</v>
      </c>
      <c r="J111" s="3"/>
    </row>
    <row r="112" customFormat="false" ht="15" hidden="false" customHeight="false" outlineLevel="0" collapsed="false">
      <c r="A112" s="2" t="n">
        <v>111</v>
      </c>
      <c r="B112" s="3" t="s">
        <v>490</v>
      </c>
      <c r="C112" s="3" t="s">
        <v>339</v>
      </c>
      <c r="D112" s="3" t="s">
        <v>491</v>
      </c>
      <c r="E112" s="3" t="s">
        <v>391</v>
      </c>
      <c r="F112" s="3" t="s">
        <v>492</v>
      </c>
      <c r="G112" s="3" t="s">
        <v>130</v>
      </c>
      <c r="H112" s="2" t="s">
        <v>34</v>
      </c>
      <c r="I112" s="3" t="s">
        <v>23</v>
      </c>
      <c r="J11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38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customFormat="false" ht="18" hidden="false" customHeight="true" outlineLevel="0" collapsed="false">
      <c r="A2" s="2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n">
        <v>4.2</v>
      </c>
      <c r="I2" s="3" t="s">
        <v>16</v>
      </c>
      <c r="J2" s="3" t="s">
        <v>17</v>
      </c>
    </row>
    <row r="3" customFormat="false" ht="18" hidden="false" customHeight="true" outlineLevel="0" collapsed="false">
      <c r="A3" s="4" t="n">
        <v>2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15</v>
      </c>
      <c r="H3" s="4" t="n">
        <v>4.5</v>
      </c>
      <c r="I3" s="5" t="s">
        <v>23</v>
      </c>
      <c r="J3" s="5"/>
    </row>
    <row r="4" customFormat="false" ht="18" hidden="false" customHeight="true" outlineLevel="0" collapsed="false">
      <c r="A4" s="2" t="n">
        <v>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15</v>
      </c>
      <c r="H4" s="2" t="n">
        <v>4.6</v>
      </c>
      <c r="I4" s="3" t="s">
        <v>23</v>
      </c>
      <c r="J4" s="3"/>
    </row>
    <row r="5" customFormat="false" ht="18" hidden="false" customHeight="true" outlineLevel="0" collapsed="false">
      <c r="A5" s="4" t="n">
        <v>4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15</v>
      </c>
      <c r="H5" s="4" t="s">
        <v>34</v>
      </c>
      <c r="I5" s="5" t="s">
        <v>23</v>
      </c>
      <c r="J5" s="5"/>
    </row>
    <row r="6" customFormat="false" ht="18" hidden="false" customHeight="true" outlineLevel="0" collapsed="false">
      <c r="A6" s="2" t="n">
        <v>5</v>
      </c>
      <c r="B6" s="3" t="s">
        <v>35</v>
      </c>
      <c r="C6" s="3" t="s">
        <v>30</v>
      </c>
      <c r="D6" s="3" t="s">
        <v>36</v>
      </c>
      <c r="E6" s="3" t="s">
        <v>37</v>
      </c>
      <c r="F6" s="3" t="s">
        <v>38</v>
      </c>
      <c r="G6" s="3" t="s">
        <v>15</v>
      </c>
      <c r="H6" s="2" t="s">
        <v>34</v>
      </c>
      <c r="I6" s="3" t="s">
        <v>23</v>
      </c>
      <c r="J6" s="3"/>
    </row>
    <row r="7" customFormat="false" ht="18" hidden="false" customHeight="true" outlineLevel="0" collapsed="false">
      <c r="A7" s="4" t="n">
        <v>6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15</v>
      </c>
      <c r="H7" s="4" t="n">
        <v>4.2</v>
      </c>
      <c r="I7" s="5" t="s">
        <v>44</v>
      </c>
      <c r="J7" s="5"/>
    </row>
    <row r="8" customFormat="false" ht="18" hidden="false" customHeight="true" outlineLevel="0" collapsed="false">
      <c r="A8" s="2" t="n">
        <v>7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15</v>
      </c>
      <c r="H8" s="2" t="n">
        <v>5</v>
      </c>
      <c r="I8" s="3" t="s">
        <v>23</v>
      </c>
      <c r="J8" s="3"/>
    </row>
    <row r="9" customFormat="false" ht="18" hidden="false" customHeight="true" outlineLevel="0" collapsed="false">
      <c r="A9" s="4" t="n">
        <v>8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15</v>
      </c>
      <c r="H9" s="4" t="s">
        <v>34</v>
      </c>
      <c r="I9" s="5" t="s">
        <v>44</v>
      </c>
      <c r="J9" s="5"/>
    </row>
    <row r="10" customFormat="false" ht="18" hidden="false" customHeight="true" outlineLevel="0" collapsed="false">
      <c r="A10" s="2" t="n">
        <v>9</v>
      </c>
      <c r="B10" s="3" t="s">
        <v>55</v>
      </c>
      <c r="C10" s="3" t="s">
        <v>19</v>
      </c>
      <c r="D10" s="3" t="s">
        <v>56</v>
      </c>
      <c r="E10" s="3" t="s">
        <v>57</v>
      </c>
      <c r="F10" s="3" t="s">
        <v>58</v>
      </c>
      <c r="G10" s="3" t="s">
        <v>15</v>
      </c>
      <c r="H10" s="2" t="n">
        <v>5</v>
      </c>
      <c r="I10" s="3" t="s">
        <v>44</v>
      </c>
      <c r="J10" s="3"/>
    </row>
    <row r="11" customFormat="false" ht="18" hidden="false" customHeight="true" outlineLevel="0" collapsed="false">
      <c r="A11" s="4" t="n">
        <v>10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15</v>
      </c>
      <c r="H11" s="4" t="n">
        <v>4.1</v>
      </c>
      <c r="I11" s="5" t="s">
        <v>44</v>
      </c>
      <c r="J11" s="5"/>
    </row>
    <row r="12" customFormat="false" ht="18" hidden="false" customHeight="true" outlineLevel="0" collapsed="false">
      <c r="A12" s="2" t="n">
        <v>11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15</v>
      </c>
      <c r="H12" s="2" t="n">
        <v>3.5</v>
      </c>
      <c r="I12" s="3" t="s">
        <v>44</v>
      </c>
      <c r="J12" s="3"/>
    </row>
    <row r="13" customFormat="false" ht="18" hidden="false" customHeight="true" outlineLevel="0" collapsed="false">
      <c r="A13" s="4" t="n">
        <v>12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15</v>
      </c>
      <c r="H13" s="4" t="n">
        <v>4</v>
      </c>
      <c r="I13" s="5" t="s">
        <v>44</v>
      </c>
      <c r="J13" s="5"/>
    </row>
    <row r="14" customFormat="false" ht="18" hidden="false" customHeight="true" outlineLevel="0" collapsed="false">
      <c r="A14" s="2" t="n">
        <v>13</v>
      </c>
      <c r="B14" s="3" t="s">
        <v>74</v>
      </c>
      <c r="C14" s="3" t="s">
        <v>70</v>
      </c>
      <c r="D14" s="3" t="s">
        <v>75</v>
      </c>
      <c r="E14" s="3" t="s">
        <v>76</v>
      </c>
      <c r="F14" s="3" t="s">
        <v>77</v>
      </c>
      <c r="G14" s="3" t="s">
        <v>15</v>
      </c>
      <c r="H14" s="2" t="n">
        <v>4</v>
      </c>
      <c r="I14" s="3" t="s">
        <v>44</v>
      </c>
      <c r="J14" s="3"/>
    </row>
    <row r="15" customFormat="false" ht="18" hidden="false" customHeight="true" outlineLevel="0" collapsed="false">
      <c r="A15" s="4" t="n">
        <v>14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82</v>
      </c>
      <c r="G15" s="5" t="s">
        <v>15</v>
      </c>
      <c r="H15" s="4" t="n">
        <v>3.9</v>
      </c>
      <c r="I15" s="5" t="s">
        <v>44</v>
      </c>
      <c r="J15" s="5"/>
    </row>
    <row r="16" customFormat="false" ht="18" hidden="false" customHeight="true" outlineLevel="0" collapsed="false">
      <c r="A16" s="2" t="n">
        <v>15</v>
      </c>
      <c r="B16" s="3" t="s">
        <v>83</v>
      </c>
      <c r="C16" s="3" t="s">
        <v>70</v>
      </c>
      <c r="D16" s="3" t="s">
        <v>84</v>
      </c>
      <c r="E16" s="3"/>
      <c r="F16" s="3" t="s">
        <v>85</v>
      </c>
      <c r="G16" s="3" t="s">
        <v>15</v>
      </c>
      <c r="H16" s="2" t="n">
        <v>4.5</v>
      </c>
      <c r="I16" s="3" t="s">
        <v>44</v>
      </c>
      <c r="J16" s="3"/>
    </row>
    <row r="17" customFormat="false" ht="18" hidden="false" customHeight="true" outlineLevel="0" collapsed="false">
      <c r="A17" s="4" t="n">
        <v>16</v>
      </c>
      <c r="B17" s="5" t="s">
        <v>86</v>
      </c>
      <c r="C17" s="5" t="s">
        <v>70</v>
      </c>
      <c r="D17" s="5" t="s">
        <v>87</v>
      </c>
      <c r="E17" s="5" t="s">
        <v>88</v>
      </c>
      <c r="F17" s="5" t="s">
        <v>89</v>
      </c>
      <c r="G17" s="5" t="s">
        <v>15</v>
      </c>
      <c r="H17" s="4" t="n">
        <v>4.5</v>
      </c>
      <c r="I17" s="5" t="s">
        <v>44</v>
      </c>
      <c r="J17" s="5"/>
    </row>
    <row r="18" customFormat="false" ht="18" hidden="false" customHeight="true" outlineLevel="0" collapsed="false">
      <c r="A18" s="2" t="n">
        <v>17</v>
      </c>
      <c r="B18" s="3" t="s">
        <v>90</v>
      </c>
      <c r="C18" s="3" t="s">
        <v>91</v>
      </c>
      <c r="D18" s="3" t="s">
        <v>92</v>
      </c>
      <c r="E18" s="3" t="s">
        <v>93</v>
      </c>
      <c r="F18" s="3" t="s">
        <v>94</v>
      </c>
      <c r="G18" s="3" t="s">
        <v>15</v>
      </c>
      <c r="H18" s="2" t="n">
        <v>4.7</v>
      </c>
      <c r="I18" s="3" t="s">
        <v>23</v>
      </c>
      <c r="J18" s="3"/>
    </row>
    <row r="19" customFormat="false" ht="18" hidden="false" customHeight="true" outlineLevel="0" collapsed="false">
      <c r="A19" s="4" t="n">
        <v>18</v>
      </c>
      <c r="B19" s="5" t="s">
        <v>95</v>
      </c>
      <c r="C19" s="5" t="s">
        <v>96</v>
      </c>
      <c r="D19" s="5" t="s">
        <v>97</v>
      </c>
      <c r="E19" s="5" t="s">
        <v>98</v>
      </c>
      <c r="F19" s="5" t="s">
        <v>99</v>
      </c>
      <c r="G19" s="5" t="s">
        <v>15</v>
      </c>
      <c r="H19" s="4" t="s">
        <v>34</v>
      </c>
      <c r="I19" s="5" t="s">
        <v>23</v>
      </c>
      <c r="J19" s="5"/>
    </row>
    <row r="20" customFormat="false" ht="18" hidden="false" customHeight="true" outlineLevel="0" collapsed="false">
      <c r="A20" s="2" t="n">
        <v>19</v>
      </c>
      <c r="B20" s="3" t="s">
        <v>100</v>
      </c>
      <c r="C20" s="3" t="s">
        <v>101</v>
      </c>
      <c r="D20" s="3" t="s">
        <v>102</v>
      </c>
      <c r="E20" s="3" t="s">
        <v>103</v>
      </c>
      <c r="F20" s="3" t="s">
        <v>104</v>
      </c>
      <c r="G20" s="3" t="s">
        <v>15</v>
      </c>
      <c r="H20" s="2" t="s">
        <v>34</v>
      </c>
      <c r="I20" s="3" t="s">
        <v>23</v>
      </c>
      <c r="J20" s="3"/>
    </row>
    <row r="21" customFormat="false" ht="18" hidden="false" customHeight="true" outlineLevel="0" collapsed="false">
      <c r="A21" s="4" t="n">
        <v>20</v>
      </c>
      <c r="B21" s="5" t="s">
        <v>105</v>
      </c>
      <c r="C21" s="5" t="s">
        <v>106</v>
      </c>
      <c r="D21" s="5" t="s">
        <v>107</v>
      </c>
      <c r="E21" s="5" t="s">
        <v>108</v>
      </c>
      <c r="F21" s="5" t="s">
        <v>109</v>
      </c>
      <c r="G21" s="5" t="s">
        <v>15</v>
      </c>
      <c r="H21" s="4" t="n">
        <v>4.7</v>
      </c>
      <c r="I21" s="5" t="s">
        <v>44</v>
      </c>
      <c r="J21" s="5"/>
    </row>
    <row r="22" customFormat="false" ht="18" hidden="false" customHeight="true" outlineLevel="0" collapsed="false">
      <c r="A22" s="2" t="n">
        <v>21</v>
      </c>
      <c r="B22" s="3" t="s">
        <v>110</v>
      </c>
      <c r="C22" s="3" t="s">
        <v>111</v>
      </c>
      <c r="D22" s="3" t="s">
        <v>112</v>
      </c>
      <c r="E22" s="3" t="s">
        <v>113</v>
      </c>
      <c r="F22" s="3" t="s">
        <v>114</v>
      </c>
      <c r="G22" s="3" t="s">
        <v>15</v>
      </c>
      <c r="H22" s="2" t="n">
        <v>4</v>
      </c>
      <c r="I22" s="3" t="s">
        <v>23</v>
      </c>
      <c r="J22" s="3"/>
    </row>
    <row r="23" customFormat="false" ht="18" hidden="false" customHeight="true" outlineLevel="0" collapsed="false">
      <c r="A23" s="4" t="n">
        <v>22</v>
      </c>
      <c r="B23" s="5" t="s">
        <v>115</v>
      </c>
      <c r="C23" s="5" t="s">
        <v>19</v>
      </c>
      <c r="D23" s="5" t="s">
        <v>116</v>
      </c>
      <c r="E23" s="5" t="s">
        <v>117</v>
      </c>
      <c r="F23" s="5" t="s">
        <v>118</v>
      </c>
      <c r="G23" s="5" t="s">
        <v>15</v>
      </c>
      <c r="H23" s="4" t="n">
        <v>5</v>
      </c>
      <c r="I23" s="5" t="s">
        <v>44</v>
      </c>
      <c r="J23" s="5"/>
    </row>
    <row r="24" customFormat="false" ht="18" hidden="false" customHeight="true" outlineLevel="0" collapsed="false">
      <c r="A24" s="2" t="n">
        <v>23</v>
      </c>
      <c r="B24" s="3" t="s">
        <v>119</v>
      </c>
      <c r="C24" s="3" t="s">
        <v>106</v>
      </c>
      <c r="D24" s="3" t="s">
        <v>120</v>
      </c>
      <c r="E24" s="3" t="s">
        <v>121</v>
      </c>
      <c r="F24" s="3" t="s">
        <v>122</v>
      </c>
      <c r="G24" s="3" t="s">
        <v>15</v>
      </c>
      <c r="H24" s="2" t="s">
        <v>34</v>
      </c>
      <c r="I24" s="3" t="s">
        <v>44</v>
      </c>
      <c r="J24" s="3"/>
    </row>
    <row r="25" customFormat="false" ht="18" hidden="false" customHeight="true" outlineLevel="0" collapsed="false">
      <c r="A25" s="4" t="n">
        <v>24</v>
      </c>
      <c r="B25" s="5" t="s">
        <v>123</v>
      </c>
      <c r="C25" s="5" t="s">
        <v>124</v>
      </c>
      <c r="D25" s="5" t="s">
        <v>125</v>
      </c>
      <c r="E25" s="5" t="s">
        <v>126</v>
      </c>
      <c r="F25" s="5" t="s">
        <v>127</v>
      </c>
      <c r="G25" s="5" t="s">
        <v>15</v>
      </c>
      <c r="H25" s="4" t="n">
        <v>4.8</v>
      </c>
      <c r="I25" s="5" t="s">
        <v>44</v>
      </c>
      <c r="J25" s="5"/>
    </row>
    <row r="26" customFormat="false" ht="15" hidden="false" customHeight="false" outlineLevel="0" collapsed="false">
      <c r="A26" s="2" t="n">
        <v>25</v>
      </c>
      <c r="B26" s="3" t="s">
        <v>413</v>
      </c>
      <c r="C26" s="3" t="s">
        <v>156</v>
      </c>
      <c r="D26" s="3" t="s">
        <v>414</v>
      </c>
      <c r="E26" s="3" t="s">
        <v>415</v>
      </c>
      <c r="F26" s="3" t="s">
        <v>416</v>
      </c>
      <c r="G26" s="3" t="s">
        <v>15</v>
      </c>
      <c r="H26" s="2" t="s">
        <v>34</v>
      </c>
      <c r="I26" s="3" t="s">
        <v>417</v>
      </c>
      <c r="J26" s="3"/>
    </row>
    <row r="27" customFormat="false" ht="15" hidden="false" customHeight="false" outlineLevel="0" collapsed="false">
      <c r="A27" s="2" t="n">
        <v>26</v>
      </c>
      <c r="B27" s="3" t="s">
        <v>453</v>
      </c>
      <c r="C27" s="3" t="s">
        <v>454</v>
      </c>
      <c r="D27" s="3" t="s">
        <v>455</v>
      </c>
      <c r="E27" s="3" t="s">
        <v>391</v>
      </c>
      <c r="F27" s="3" t="s">
        <v>456</v>
      </c>
      <c r="G27" s="3" t="s">
        <v>15</v>
      </c>
      <c r="H27" s="2" t="s">
        <v>34</v>
      </c>
      <c r="I27" s="3" t="s">
        <v>44</v>
      </c>
      <c r="J27" s="3"/>
    </row>
    <row r="28" customFormat="false" ht="15" hidden="false" customHeight="false" outlineLevel="0" collapsed="false">
      <c r="A28" s="2" t="n">
        <v>27</v>
      </c>
      <c r="B28" s="3" t="s">
        <v>457</v>
      </c>
      <c r="C28" s="3" t="s">
        <v>458</v>
      </c>
      <c r="D28" s="3" t="s">
        <v>459</v>
      </c>
      <c r="E28" s="3" t="s">
        <v>460</v>
      </c>
      <c r="F28" s="3" t="s">
        <v>461</v>
      </c>
      <c r="G28" s="3" t="s">
        <v>15</v>
      </c>
      <c r="H28" s="2" t="s">
        <v>34</v>
      </c>
      <c r="I28" s="3" t="s">
        <v>44</v>
      </c>
      <c r="J2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38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customFormat="false" ht="18" hidden="false" customHeight="true" outlineLevel="0" collapsed="false">
      <c r="A2" s="2" t="n">
        <v>1</v>
      </c>
      <c r="B2" s="3" t="s">
        <v>35</v>
      </c>
      <c r="C2" s="3" t="s">
        <v>128</v>
      </c>
      <c r="D2" s="3" t="s">
        <v>36</v>
      </c>
      <c r="E2" s="3" t="s">
        <v>129</v>
      </c>
      <c r="F2" s="3" t="s">
        <v>38</v>
      </c>
      <c r="G2" s="3" t="s">
        <v>130</v>
      </c>
      <c r="H2" s="2" t="n">
        <v>4.3</v>
      </c>
      <c r="I2" s="3" t="s">
        <v>23</v>
      </c>
      <c r="J2" s="3"/>
    </row>
    <row r="3" customFormat="false" ht="18" hidden="false" customHeight="true" outlineLevel="0" collapsed="false">
      <c r="A3" s="4" t="n">
        <v>2</v>
      </c>
      <c r="B3" s="5" t="s">
        <v>131</v>
      </c>
      <c r="C3" s="5" t="s">
        <v>132</v>
      </c>
      <c r="D3" s="5" t="s">
        <v>133</v>
      </c>
      <c r="E3" s="5" t="s">
        <v>134</v>
      </c>
      <c r="F3" s="5" t="s">
        <v>135</v>
      </c>
      <c r="G3" s="5" t="s">
        <v>130</v>
      </c>
      <c r="H3" s="4" t="n">
        <v>3.9</v>
      </c>
      <c r="I3" s="5" t="s">
        <v>44</v>
      </c>
      <c r="J3" s="5"/>
    </row>
    <row r="4" customFormat="false" ht="18" hidden="false" customHeight="true" outlineLevel="0" collapsed="false">
      <c r="A4" s="2" t="n">
        <v>3</v>
      </c>
      <c r="B4" s="3" t="s">
        <v>136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130</v>
      </c>
      <c r="H4" s="2" t="n">
        <v>4.7</v>
      </c>
      <c r="I4" s="3" t="s">
        <v>44</v>
      </c>
      <c r="J4" s="3"/>
    </row>
    <row r="5" customFormat="false" ht="18" hidden="false" customHeight="true" outlineLevel="0" collapsed="false">
      <c r="A5" s="4" t="n">
        <v>4</v>
      </c>
      <c r="B5" s="5" t="s">
        <v>141</v>
      </c>
      <c r="C5" s="5" t="s">
        <v>142</v>
      </c>
      <c r="D5" s="5" t="s">
        <v>143</v>
      </c>
      <c r="E5" s="5" t="s">
        <v>144</v>
      </c>
      <c r="F5" s="5" t="s">
        <v>145</v>
      </c>
      <c r="G5" s="5" t="s">
        <v>130</v>
      </c>
      <c r="H5" s="4" t="n">
        <v>4.9</v>
      </c>
      <c r="I5" s="5" t="s">
        <v>44</v>
      </c>
      <c r="J5" s="5"/>
    </row>
    <row r="6" customFormat="false" ht="18" hidden="false" customHeight="true" outlineLevel="0" collapsed="false">
      <c r="A6" s="2" t="n">
        <v>5</v>
      </c>
      <c r="B6" s="3" t="s">
        <v>146</v>
      </c>
      <c r="C6" s="3" t="s">
        <v>147</v>
      </c>
      <c r="D6" s="3" t="s">
        <v>148</v>
      </c>
      <c r="E6" s="3" t="s">
        <v>149</v>
      </c>
      <c r="F6" s="3" t="s">
        <v>150</v>
      </c>
      <c r="G6" s="3" t="s">
        <v>130</v>
      </c>
      <c r="H6" s="2" t="n">
        <v>4.4</v>
      </c>
      <c r="I6" s="3" t="s">
        <v>44</v>
      </c>
      <c r="J6" s="3"/>
    </row>
    <row r="7" customFormat="false" ht="18" hidden="false" customHeight="true" outlineLevel="0" collapsed="false">
      <c r="A7" s="4" t="n">
        <v>6</v>
      </c>
      <c r="B7" s="5" t="s">
        <v>151</v>
      </c>
      <c r="C7" s="5" t="s">
        <v>152</v>
      </c>
      <c r="D7" s="5" t="s">
        <v>153</v>
      </c>
      <c r="E7" s="5"/>
      <c r="F7" s="5" t="s">
        <v>154</v>
      </c>
      <c r="G7" s="5" t="s">
        <v>130</v>
      </c>
      <c r="H7" s="4" t="s">
        <v>34</v>
      </c>
      <c r="I7" s="5" t="s">
        <v>44</v>
      </c>
      <c r="J7" s="5"/>
    </row>
    <row r="8" customFormat="false" ht="18" hidden="false" customHeight="true" outlineLevel="0" collapsed="false">
      <c r="A8" s="2" t="n">
        <v>7</v>
      </c>
      <c r="B8" s="3" t="s">
        <v>155</v>
      </c>
      <c r="C8" s="3" t="s">
        <v>156</v>
      </c>
      <c r="D8" s="3" t="s">
        <v>157</v>
      </c>
      <c r="E8" s="3" t="s">
        <v>158</v>
      </c>
      <c r="F8" s="3" t="s">
        <v>159</v>
      </c>
      <c r="G8" s="3" t="s">
        <v>130</v>
      </c>
      <c r="H8" s="2" t="n">
        <v>4.5</v>
      </c>
      <c r="I8" s="3" t="s">
        <v>44</v>
      </c>
      <c r="J8" s="3"/>
    </row>
    <row r="9" customFormat="false" ht="18" hidden="false" customHeight="true" outlineLevel="0" collapsed="false">
      <c r="A9" s="4" t="n">
        <v>8</v>
      </c>
      <c r="B9" s="5" t="s">
        <v>160</v>
      </c>
      <c r="C9" s="5" t="s">
        <v>147</v>
      </c>
      <c r="D9" s="5" t="s">
        <v>161</v>
      </c>
      <c r="E9" s="5" t="s">
        <v>162</v>
      </c>
      <c r="F9" s="5" t="s">
        <v>163</v>
      </c>
      <c r="G9" s="5" t="s">
        <v>164</v>
      </c>
      <c r="H9" s="4" t="n">
        <v>4.8</v>
      </c>
      <c r="I9" s="5" t="s">
        <v>44</v>
      </c>
      <c r="J9" s="5"/>
    </row>
    <row r="10" customFormat="false" ht="18" hidden="false" customHeight="true" outlineLevel="0" collapsed="false">
      <c r="A10" s="2" t="n">
        <v>9</v>
      </c>
      <c r="B10" s="3" t="s">
        <v>165</v>
      </c>
      <c r="C10" s="3" t="s">
        <v>128</v>
      </c>
      <c r="D10" s="3" t="s">
        <v>166</v>
      </c>
      <c r="E10" s="3" t="s">
        <v>167</v>
      </c>
      <c r="F10" s="3" t="s">
        <v>168</v>
      </c>
      <c r="G10" s="3" t="s">
        <v>130</v>
      </c>
      <c r="H10" s="2" t="n">
        <v>5</v>
      </c>
      <c r="I10" s="3" t="s">
        <v>44</v>
      </c>
      <c r="J10" s="3"/>
    </row>
    <row r="11" customFormat="false" ht="18" hidden="false" customHeight="true" outlineLevel="0" collapsed="false">
      <c r="A11" s="4" t="n">
        <v>10</v>
      </c>
      <c r="B11" s="5" t="s">
        <v>169</v>
      </c>
      <c r="C11" s="5" t="s">
        <v>170</v>
      </c>
      <c r="D11" s="5" t="s">
        <v>171</v>
      </c>
      <c r="E11" s="5" t="s">
        <v>172</v>
      </c>
      <c r="F11" s="5" t="s">
        <v>173</v>
      </c>
      <c r="G11" s="5" t="s">
        <v>130</v>
      </c>
      <c r="H11" s="4" t="s">
        <v>34</v>
      </c>
      <c r="I11" s="5" t="s">
        <v>44</v>
      </c>
      <c r="J11" s="5"/>
    </row>
    <row r="12" customFormat="false" ht="18" hidden="false" customHeight="true" outlineLevel="0" collapsed="false">
      <c r="A12" s="2" t="n">
        <v>11</v>
      </c>
      <c r="B12" s="3" t="s">
        <v>174</v>
      </c>
      <c r="C12" s="3" t="s">
        <v>175</v>
      </c>
      <c r="D12" s="3" t="s">
        <v>176</v>
      </c>
      <c r="E12" s="3" t="s">
        <v>177</v>
      </c>
      <c r="F12" s="3" t="s">
        <v>178</v>
      </c>
      <c r="G12" s="3" t="s">
        <v>130</v>
      </c>
      <c r="H12" s="2" t="n">
        <v>4.1</v>
      </c>
      <c r="I12" s="3" t="s">
        <v>44</v>
      </c>
      <c r="J12" s="3"/>
    </row>
    <row r="13" customFormat="false" ht="18" hidden="false" customHeight="true" outlineLevel="0" collapsed="false">
      <c r="A13" s="4" t="n">
        <v>12</v>
      </c>
      <c r="B13" s="5" t="s">
        <v>179</v>
      </c>
      <c r="C13" s="5" t="s">
        <v>180</v>
      </c>
      <c r="D13" s="5" t="s">
        <v>181</v>
      </c>
      <c r="E13" s="5" t="s">
        <v>182</v>
      </c>
      <c r="F13" s="5" t="s">
        <v>183</v>
      </c>
      <c r="G13" s="5" t="s">
        <v>130</v>
      </c>
      <c r="H13" s="4" t="n">
        <v>5</v>
      </c>
      <c r="I13" s="5" t="s">
        <v>44</v>
      </c>
      <c r="J13" s="5"/>
    </row>
    <row r="14" customFormat="false" ht="18" hidden="false" customHeight="true" outlineLevel="0" collapsed="false">
      <c r="A14" s="2" t="n">
        <v>13</v>
      </c>
      <c r="B14" s="3" t="s">
        <v>184</v>
      </c>
      <c r="C14" s="3" t="s">
        <v>185</v>
      </c>
      <c r="D14" s="3" t="s">
        <v>186</v>
      </c>
      <c r="E14" s="3" t="s">
        <v>187</v>
      </c>
      <c r="F14" s="3" t="s">
        <v>188</v>
      </c>
      <c r="G14" s="3" t="s">
        <v>130</v>
      </c>
      <c r="H14" s="2" t="n">
        <v>4.3</v>
      </c>
      <c r="I14" s="3" t="s">
        <v>44</v>
      </c>
      <c r="J14" s="3"/>
    </row>
    <row r="15" customFormat="false" ht="18" hidden="false" customHeight="true" outlineLevel="0" collapsed="false">
      <c r="A15" s="4" t="n">
        <v>14</v>
      </c>
      <c r="B15" s="5" t="s">
        <v>189</v>
      </c>
      <c r="C15" s="5" t="s">
        <v>185</v>
      </c>
      <c r="D15" s="5" t="s">
        <v>190</v>
      </c>
      <c r="E15" s="5" t="s">
        <v>191</v>
      </c>
      <c r="F15" s="5" t="s">
        <v>192</v>
      </c>
      <c r="G15" s="5" t="s">
        <v>130</v>
      </c>
      <c r="H15" s="4" t="s">
        <v>34</v>
      </c>
      <c r="I15" s="5" t="s">
        <v>44</v>
      </c>
      <c r="J15" s="5"/>
    </row>
    <row r="16" customFormat="false" ht="18" hidden="false" customHeight="true" outlineLevel="0" collapsed="false">
      <c r="A16" s="2" t="n">
        <v>15</v>
      </c>
      <c r="B16" s="3" t="s">
        <v>193</v>
      </c>
      <c r="C16" s="3" t="s">
        <v>194</v>
      </c>
      <c r="D16" s="3" t="s">
        <v>195</v>
      </c>
      <c r="E16" s="3" t="s">
        <v>196</v>
      </c>
      <c r="F16" s="3" t="s">
        <v>197</v>
      </c>
      <c r="G16" s="3" t="s">
        <v>130</v>
      </c>
      <c r="H16" s="2" t="n">
        <v>5</v>
      </c>
      <c r="I16" s="3" t="s">
        <v>44</v>
      </c>
      <c r="J16" s="3"/>
    </row>
    <row r="17" customFormat="false" ht="18" hidden="false" customHeight="true" outlineLevel="0" collapsed="false">
      <c r="A17" s="4" t="n">
        <v>16</v>
      </c>
      <c r="B17" s="5" t="s">
        <v>198</v>
      </c>
      <c r="C17" s="5" t="s">
        <v>180</v>
      </c>
      <c r="D17" s="5" t="s">
        <v>199</v>
      </c>
      <c r="E17" s="5" t="s">
        <v>200</v>
      </c>
      <c r="F17" s="5" t="s">
        <v>201</v>
      </c>
      <c r="G17" s="5" t="s">
        <v>130</v>
      </c>
      <c r="H17" s="4" t="s">
        <v>34</v>
      </c>
      <c r="I17" s="5" t="s">
        <v>44</v>
      </c>
      <c r="J17" s="5"/>
    </row>
    <row r="18" customFormat="false" ht="18" hidden="false" customHeight="true" outlineLevel="0" collapsed="false">
      <c r="A18" s="2" t="n">
        <v>17</v>
      </c>
      <c r="B18" s="3" t="s">
        <v>202</v>
      </c>
      <c r="C18" s="3" t="s">
        <v>203</v>
      </c>
      <c r="D18" s="3" t="s">
        <v>204</v>
      </c>
      <c r="E18" s="3" t="s">
        <v>205</v>
      </c>
      <c r="F18" s="3" t="s">
        <v>206</v>
      </c>
      <c r="G18" s="3" t="s">
        <v>130</v>
      </c>
      <c r="H18" s="2" t="s">
        <v>34</v>
      </c>
      <c r="I18" s="3" t="s">
        <v>44</v>
      </c>
      <c r="J18" s="3"/>
    </row>
    <row r="19" customFormat="false" ht="18" hidden="false" customHeight="true" outlineLevel="0" collapsed="false">
      <c r="A19" s="4" t="n">
        <v>18</v>
      </c>
      <c r="B19" s="5" t="s">
        <v>207</v>
      </c>
      <c r="C19" s="5" t="s">
        <v>208</v>
      </c>
      <c r="D19" s="5" t="s">
        <v>209</v>
      </c>
      <c r="E19" s="5" t="s">
        <v>210</v>
      </c>
      <c r="F19" s="5" t="s">
        <v>211</v>
      </c>
      <c r="G19" s="5" t="s">
        <v>130</v>
      </c>
      <c r="H19" s="4" t="n">
        <v>4.5</v>
      </c>
      <c r="I19" s="5" t="s">
        <v>44</v>
      </c>
      <c r="J19" s="5"/>
    </row>
    <row r="20" customFormat="false" ht="18" hidden="false" customHeight="true" outlineLevel="0" collapsed="false">
      <c r="A20" s="2" t="n">
        <v>19</v>
      </c>
      <c r="B20" s="3" t="s">
        <v>212</v>
      </c>
      <c r="C20" s="3" t="s">
        <v>180</v>
      </c>
      <c r="D20" s="3" t="s">
        <v>213</v>
      </c>
      <c r="E20" s="3" t="s">
        <v>214</v>
      </c>
      <c r="F20" s="3" t="s">
        <v>215</v>
      </c>
      <c r="G20" s="3" t="s">
        <v>130</v>
      </c>
      <c r="H20" s="2" t="n">
        <v>5</v>
      </c>
      <c r="I20" s="3" t="s">
        <v>44</v>
      </c>
      <c r="J20" s="3"/>
    </row>
    <row r="21" customFormat="false" ht="18" hidden="false" customHeight="true" outlineLevel="0" collapsed="false">
      <c r="A21" s="4" t="n">
        <v>20</v>
      </c>
      <c r="B21" s="5" t="s">
        <v>216</v>
      </c>
      <c r="C21" s="5" t="s">
        <v>180</v>
      </c>
      <c r="D21" s="5" t="s">
        <v>217</v>
      </c>
      <c r="E21" s="5" t="s">
        <v>218</v>
      </c>
      <c r="F21" s="5" t="s">
        <v>219</v>
      </c>
      <c r="G21" s="5" t="s">
        <v>130</v>
      </c>
      <c r="H21" s="4" t="n">
        <v>4.5</v>
      </c>
      <c r="I21" s="5" t="s">
        <v>44</v>
      </c>
      <c r="J21" s="5"/>
    </row>
    <row r="22" customFormat="false" ht="18" hidden="false" customHeight="true" outlineLevel="0" collapsed="false">
      <c r="A22" s="2" t="n">
        <v>21</v>
      </c>
      <c r="B22" s="3" t="s">
        <v>220</v>
      </c>
      <c r="C22" s="3" t="s">
        <v>180</v>
      </c>
      <c r="D22" s="3" t="s">
        <v>221</v>
      </c>
      <c r="E22" s="3" t="s">
        <v>222</v>
      </c>
      <c r="F22" s="3" t="s">
        <v>223</v>
      </c>
      <c r="G22" s="3" t="s">
        <v>130</v>
      </c>
      <c r="H22" s="2" t="s">
        <v>34</v>
      </c>
      <c r="I22" s="3" t="s">
        <v>44</v>
      </c>
      <c r="J22" s="3"/>
    </row>
    <row r="23" customFormat="false" ht="18" hidden="false" customHeight="true" outlineLevel="0" collapsed="false">
      <c r="A23" s="4" t="n">
        <v>22</v>
      </c>
      <c r="B23" s="5" t="s">
        <v>224</v>
      </c>
      <c r="C23" s="5" t="s">
        <v>225</v>
      </c>
      <c r="D23" s="5" t="s">
        <v>226</v>
      </c>
      <c r="E23" s="5" t="s">
        <v>227</v>
      </c>
      <c r="F23" s="5" t="s">
        <v>228</v>
      </c>
      <c r="G23" s="5" t="s">
        <v>130</v>
      </c>
      <c r="H23" s="4" t="n">
        <v>5</v>
      </c>
      <c r="I23" s="5" t="s">
        <v>44</v>
      </c>
      <c r="J23" s="5"/>
    </row>
    <row r="24" customFormat="false" ht="18" hidden="false" customHeight="true" outlineLevel="0" collapsed="false">
      <c r="A24" s="2" t="n">
        <v>23</v>
      </c>
      <c r="B24" s="3" t="s">
        <v>229</v>
      </c>
      <c r="C24" s="3" t="s">
        <v>180</v>
      </c>
      <c r="D24" s="3" t="s">
        <v>230</v>
      </c>
      <c r="E24" s="3" t="s">
        <v>231</v>
      </c>
      <c r="F24" s="3" t="s">
        <v>232</v>
      </c>
      <c r="G24" s="3" t="s">
        <v>130</v>
      </c>
      <c r="H24" s="2" t="n">
        <v>5</v>
      </c>
      <c r="I24" s="3" t="s">
        <v>44</v>
      </c>
      <c r="J24" s="3"/>
    </row>
    <row r="25" customFormat="false" ht="18" hidden="false" customHeight="true" outlineLevel="0" collapsed="false">
      <c r="A25" s="4" t="n">
        <v>24</v>
      </c>
      <c r="B25" s="5" t="s">
        <v>233</v>
      </c>
      <c r="C25" s="5" t="s">
        <v>234</v>
      </c>
      <c r="D25" s="5" t="s">
        <v>235</v>
      </c>
      <c r="E25" s="5" t="s">
        <v>236</v>
      </c>
      <c r="F25" s="5" t="s">
        <v>237</v>
      </c>
      <c r="G25" s="5" t="s">
        <v>130</v>
      </c>
      <c r="H25" s="4" t="n">
        <v>4.2</v>
      </c>
      <c r="I25" s="5" t="s">
        <v>44</v>
      </c>
      <c r="J25" s="5"/>
    </row>
    <row r="26" customFormat="false" ht="18" hidden="false" customHeight="true" outlineLevel="0" collapsed="false">
      <c r="A26" s="2" t="n">
        <v>25</v>
      </c>
      <c r="B26" s="3" t="s">
        <v>238</v>
      </c>
      <c r="C26" s="3" t="s">
        <v>180</v>
      </c>
      <c r="D26" s="3" t="s">
        <v>239</v>
      </c>
      <c r="E26" s="3" t="s">
        <v>240</v>
      </c>
      <c r="F26" s="3" t="s">
        <v>241</v>
      </c>
      <c r="G26" s="3" t="s">
        <v>130</v>
      </c>
      <c r="H26" s="2" t="n">
        <v>4.2</v>
      </c>
      <c r="I26" s="3" t="s">
        <v>44</v>
      </c>
      <c r="J26" s="3"/>
    </row>
    <row r="27" customFormat="false" ht="18" hidden="false" customHeight="true" outlineLevel="0" collapsed="false">
      <c r="A27" s="4" t="n">
        <v>26</v>
      </c>
      <c r="B27" s="5" t="s">
        <v>242</v>
      </c>
      <c r="C27" s="5" t="s">
        <v>243</v>
      </c>
      <c r="D27" s="5" t="s">
        <v>244</v>
      </c>
      <c r="E27" s="5" t="s">
        <v>245</v>
      </c>
      <c r="F27" s="5" t="s">
        <v>246</v>
      </c>
      <c r="G27" s="5" t="s">
        <v>130</v>
      </c>
      <c r="H27" s="4" t="n">
        <v>4.6</v>
      </c>
      <c r="I27" s="5" t="s">
        <v>44</v>
      </c>
      <c r="J27" s="5"/>
    </row>
    <row r="28" customFormat="false" ht="18" hidden="false" customHeight="true" outlineLevel="0" collapsed="false">
      <c r="A28" s="2" t="n">
        <v>27</v>
      </c>
      <c r="B28" s="3" t="s">
        <v>247</v>
      </c>
      <c r="C28" s="3" t="s">
        <v>248</v>
      </c>
      <c r="D28" s="3" t="s">
        <v>249</v>
      </c>
      <c r="E28" s="3" t="s">
        <v>250</v>
      </c>
      <c r="F28" s="3" t="s">
        <v>251</v>
      </c>
      <c r="G28" s="3" t="s">
        <v>130</v>
      </c>
      <c r="H28" s="2" t="n">
        <v>4.1</v>
      </c>
      <c r="I28" s="3" t="s">
        <v>44</v>
      </c>
      <c r="J28" s="3"/>
    </row>
    <row r="29" customFormat="false" ht="18" hidden="false" customHeight="true" outlineLevel="0" collapsed="false">
      <c r="A29" s="4" t="n">
        <v>28</v>
      </c>
      <c r="B29" s="5" t="s">
        <v>252</v>
      </c>
      <c r="C29" s="5" t="s">
        <v>253</v>
      </c>
      <c r="D29" s="5" t="s">
        <v>254</v>
      </c>
      <c r="E29" s="5" t="s">
        <v>255</v>
      </c>
      <c r="F29" s="5" t="s">
        <v>256</v>
      </c>
      <c r="G29" s="5" t="s">
        <v>130</v>
      </c>
      <c r="H29" s="4" t="s">
        <v>34</v>
      </c>
      <c r="I29" s="5" t="s">
        <v>44</v>
      </c>
      <c r="J29" s="5"/>
    </row>
    <row r="30" customFormat="false" ht="18" hidden="false" customHeight="true" outlineLevel="0" collapsed="false">
      <c r="A30" s="2" t="n">
        <v>29</v>
      </c>
      <c r="B30" s="3" t="s">
        <v>257</v>
      </c>
      <c r="C30" s="3" t="s">
        <v>258</v>
      </c>
      <c r="D30" s="3" t="s">
        <v>259</v>
      </c>
      <c r="E30" s="3" t="s">
        <v>260</v>
      </c>
      <c r="F30" s="3" t="s">
        <v>261</v>
      </c>
      <c r="G30" s="3" t="s">
        <v>130</v>
      </c>
      <c r="H30" s="2" t="n">
        <v>4.2</v>
      </c>
      <c r="I30" s="3" t="s">
        <v>44</v>
      </c>
      <c r="J30" s="3"/>
    </row>
    <row r="31" customFormat="false" ht="18" hidden="false" customHeight="true" outlineLevel="0" collapsed="false">
      <c r="A31" s="4" t="n">
        <v>30</v>
      </c>
      <c r="B31" s="5" t="s">
        <v>262</v>
      </c>
      <c r="C31" s="5" t="s">
        <v>180</v>
      </c>
      <c r="D31" s="5" t="s">
        <v>263</v>
      </c>
      <c r="E31" s="5"/>
      <c r="F31" s="5" t="s">
        <v>264</v>
      </c>
      <c r="G31" s="5" t="s">
        <v>130</v>
      </c>
      <c r="H31" s="4" t="s">
        <v>34</v>
      </c>
      <c r="I31" s="5" t="s">
        <v>44</v>
      </c>
      <c r="J31" s="5"/>
    </row>
    <row r="32" customFormat="false" ht="18" hidden="false" customHeight="true" outlineLevel="0" collapsed="false">
      <c r="A32" s="2" t="n">
        <v>31</v>
      </c>
      <c r="B32" s="3" t="s">
        <v>265</v>
      </c>
      <c r="C32" s="3" t="s">
        <v>266</v>
      </c>
      <c r="D32" s="3" t="s">
        <v>267</v>
      </c>
      <c r="E32" s="3" t="s">
        <v>268</v>
      </c>
      <c r="F32" s="3" t="s">
        <v>269</v>
      </c>
      <c r="G32" s="3" t="s">
        <v>130</v>
      </c>
      <c r="H32" s="2" t="n">
        <v>4.5</v>
      </c>
      <c r="I32" s="3" t="s">
        <v>44</v>
      </c>
      <c r="J32" s="3"/>
    </row>
    <row r="33" customFormat="false" ht="18" hidden="false" customHeight="true" outlineLevel="0" collapsed="false">
      <c r="A33" s="4" t="n">
        <v>32</v>
      </c>
      <c r="B33" s="5" t="s">
        <v>270</v>
      </c>
      <c r="C33" s="5" t="s">
        <v>271</v>
      </c>
      <c r="D33" s="5" t="s">
        <v>272</v>
      </c>
      <c r="E33" s="5" t="s">
        <v>273</v>
      </c>
      <c r="F33" s="5" t="s">
        <v>274</v>
      </c>
      <c r="G33" s="5" t="s">
        <v>130</v>
      </c>
      <c r="H33" s="4" t="n">
        <v>5</v>
      </c>
      <c r="I33" s="5" t="s">
        <v>44</v>
      </c>
      <c r="J33" s="5"/>
    </row>
    <row r="34" customFormat="false" ht="18" hidden="false" customHeight="true" outlineLevel="0" collapsed="false">
      <c r="A34" s="2" t="n">
        <v>33</v>
      </c>
      <c r="B34" s="3" t="s">
        <v>275</v>
      </c>
      <c r="C34" s="3" t="s">
        <v>276</v>
      </c>
      <c r="D34" s="3" t="s">
        <v>277</v>
      </c>
      <c r="E34" s="3" t="s">
        <v>278</v>
      </c>
      <c r="F34" s="3" t="s">
        <v>279</v>
      </c>
      <c r="G34" s="3" t="s">
        <v>130</v>
      </c>
      <c r="H34" s="2" t="s">
        <v>34</v>
      </c>
      <c r="I34" s="3" t="s">
        <v>44</v>
      </c>
      <c r="J34" s="3"/>
    </row>
    <row r="35" customFormat="false" ht="18" hidden="false" customHeight="true" outlineLevel="0" collapsed="false">
      <c r="A35" s="4" t="n">
        <v>34</v>
      </c>
      <c r="B35" s="5" t="s">
        <v>280</v>
      </c>
      <c r="C35" s="5" t="s">
        <v>281</v>
      </c>
      <c r="D35" s="5" t="s">
        <v>282</v>
      </c>
      <c r="E35" s="5" t="s">
        <v>283</v>
      </c>
      <c r="F35" s="5" t="s">
        <v>284</v>
      </c>
      <c r="G35" s="5" t="s">
        <v>130</v>
      </c>
      <c r="H35" s="4" t="n">
        <v>5</v>
      </c>
      <c r="I35" s="5" t="s">
        <v>44</v>
      </c>
      <c r="J35" s="5"/>
    </row>
    <row r="36" customFormat="false" ht="18" hidden="false" customHeight="true" outlineLevel="0" collapsed="false">
      <c r="A36" s="2" t="n">
        <v>35</v>
      </c>
      <c r="B36" s="3" t="s">
        <v>285</v>
      </c>
      <c r="C36" s="3" t="s">
        <v>185</v>
      </c>
      <c r="D36" s="3" t="s">
        <v>286</v>
      </c>
      <c r="E36" s="3" t="s">
        <v>287</v>
      </c>
      <c r="F36" s="3" t="s">
        <v>288</v>
      </c>
      <c r="G36" s="3" t="s">
        <v>130</v>
      </c>
      <c r="H36" s="2" t="n">
        <v>4.6</v>
      </c>
      <c r="I36" s="3" t="s">
        <v>44</v>
      </c>
      <c r="J36" s="3"/>
    </row>
    <row r="37" customFormat="false" ht="18" hidden="false" customHeight="true" outlineLevel="0" collapsed="false">
      <c r="A37" s="4" t="n">
        <v>36</v>
      </c>
      <c r="B37" s="5" t="s">
        <v>289</v>
      </c>
      <c r="C37" s="5" t="s">
        <v>290</v>
      </c>
      <c r="D37" s="5" t="s">
        <v>291</v>
      </c>
      <c r="E37" s="5" t="s">
        <v>292</v>
      </c>
      <c r="F37" s="5" t="s">
        <v>293</v>
      </c>
      <c r="G37" s="5" t="s">
        <v>130</v>
      </c>
      <c r="H37" s="4" t="n">
        <v>4.7</v>
      </c>
      <c r="I37" s="5" t="s">
        <v>44</v>
      </c>
      <c r="J37" s="5"/>
    </row>
    <row r="38" customFormat="false" ht="18" hidden="false" customHeight="true" outlineLevel="0" collapsed="false">
      <c r="A38" s="2" t="n">
        <v>37</v>
      </c>
      <c r="B38" s="3" t="s">
        <v>294</v>
      </c>
      <c r="C38" s="3" t="s">
        <v>295</v>
      </c>
      <c r="D38" s="3" t="s">
        <v>296</v>
      </c>
      <c r="E38" s="3" t="s">
        <v>297</v>
      </c>
      <c r="F38" s="3" t="s">
        <v>298</v>
      </c>
      <c r="G38" s="3" t="s">
        <v>130</v>
      </c>
      <c r="H38" s="2" t="n">
        <v>5</v>
      </c>
      <c r="I38" s="3" t="s">
        <v>44</v>
      </c>
      <c r="J38" s="3"/>
    </row>
    <row r="39" customFormat="false" ht="18" hidden="false" customHeight="true" outlineLevel="0" collapsed="false">
      <c r="A39" s="4" t="n">
        <v>38</v>
      </c>
      <c r="B39" s="5" t="s">
        <v>299</v>
      </c>
      <c r="C39" s="5" t="s">
        <v>243</v>
      </c>
      <c r="D39" s="5" t="s">
        <v>300</v>
      </c>
      <c r="E39" s="5" t="s">
        <v>301</v>
      </c>
      <c r="F39" s="5" t="s">
        <v>302</v>
      </c>
      <c r="G39" s="5" t="s">
        <v>130</v>
      </c>
      <c r="H39" s="4" t="n">
        <v>4.5</v>
      </c>
      <c r="I39" s="5" t="s">
        <v>44</v>
      </c>
      <c r="J39" s="5"/>
    </row>
    <row r="40" customFormat="false" ht="18" hidden="false" customHeight="true" outlineLevel="0" collapsed="false">
      <c r="A40" s="2" t="n">
        <v>39</v>
      </c>
      <c r="B40" s="3" t="s">
        <v>303</v>
      </c>
      <c r="C40" s="3" t="s">
        <v>290</v>
      </c>
      <c r="D40" s="3" t="s">
        <v>304</v>
      </c>
      <c r="E40" s="3" t="s">
        <v>305</v>
      </c>
      <c r="F40" s="3" t="s">
        <v>306</v>
      </c>
      <c r="G40" s="3" t="s">
        <v>130</v>
      </c>
      <c r="H40" s="2" t="n">
        <v>5</v>
      </c>
      <c r="I40" s="3" t="s">
        <v>44</v>
      </c>
      <c r="J40" s="3"/>
    </row>
    <row r="41" customFormat="false" ht="18" hidden="false" customHeight="true" outlineLevel="0" collapsed="false">
      <c r="A41" s="4" t="n">
        <v>40</v>
      </c>
      <c r="B41" s="5" t="s">
        <v>307</v>
      </c>
      <c r="C41" s="5" t="s">
        <v>248</v>
      </c>
      <c r="D41" s="5" t="s">
        <v>308</v>
      </c>
      <c r="E41" s="5" t="s">
        <v>309</v>
      </c>
      <c r="F41" s="5" t="s">
        <v>310</v>
      </c>
      <c r="G41" s="5" t="s">
        <v>130</v>
      </c>
      <c r="H41" s="4" t="n">
        <v>4</v>
      </c>
      <c r="I41" s="5" t="s">
        <v>44</v>
      </c>
      <c r="J41" s="5"/>
    </row>
    <row r="42" customFormat="false" ht="18" hidden="false" customHeight="true" outlineLevel="0" collapsed="false">
      <c r="A42" s="2" t="n">
        <v>41</v>
      </c>
      <c r="B42" s="3" t="s">
        <v>311</v>
      </c>
      <c r="C42" s="3" t="s">
        <v>312</v>
      </c>
      <c r="D42" s="3" t="s">
        <v>313</v>
      </c>
      <c r="E42" s="3" t="s">
        <v>314</v>
      </c>
      <c r="F42" s="3" t="s">
        <v>315</v>
      </c>
      <c r="G42" s="3" t="s">
        <v>130</v>
      </c>
      <c r="H42" s="2" t="n">
        <v>4.8</v>
      </c>
      <c r="I42" s="3" t="s">
        <v>44</v>
      </c>
      <c r="J42" s="3"/>
    </row>
    <row r="43" customFormat="false" ht="18" hidden="false" customHeight="true" outlineLevel="0" collapsed="false">
      <c r="A43" s="4" t="n">
        <v>42</v>
      </c>
      <c r="B43" s="5" t="s">
        <v>316</v>
      </c>
      <c r="C43" s="5" t="s">
        <v>295</v>
      </c>
      <c r="D43" s="5" t="s">
        <v>317</v>
      </c>
      <c r="E43" s="5" t="s">
        <v>318</v>
      </c>
      <c r="F43" s="5" t="s">
        <v>319</v>
      </c>
      <c r="G43" s="5" t="s">
        <v>130</v>
      </c>
      <c r="H43" s="4" t="n">
        <v>5</v>
      </c>
      <c r="I43" s="5" t="s">
        <v>44</v>
      </c>
      <c r="J43" s="5"/>
    </row>
    <row r="44" customFormat="false" ht="18" hidden="false" customHeight="true" outlineLevel="0" collapsed="false">
      <c r="A44" s="2" t="n">
        <v>43</v>
      </c>
      <c r="B44" s="3" t="s">
        <v>320</v>
      </c>
      <c r="C44" s="3" t="s">
        <v>321</v>
      </c>
      <c r="D44" s="3" t="s">
        <v>322</v>
      </c>
      <c r="E44" s="3" t="s">
        <v>323</v>
      </c>
      <c r="F44" s="3" t="s">
        <v>324</v>
      </c>
      <c r="G44" s="3" t="s">
        <v>130</v>
      </c>
      <c r="H44" s="2" t="n">
        <v>4.4</v>
      </c>
      <c r="I44" s="3" t="s">
        <v>44</v>
      </c>
      <c r="J44" s="3"/>
    </row>
    <row r="45" customFormat="false" ht="18" hidden="false" customHeight="true" outlineLevel="0" collapsed="false">
      <c r="A45" s="4" t="n">
        <v>44</v>
      </c>
      <c r="B45" s="5" t="s">
        <v>325</v>
      </c>
      <c r="C45" s="5" t="s">
        <v>248</v>
      </c>
      <c r="D45" s="5" t="s">
        <v>326</v>
      </c>
      <c r="E45" s="5" t="s">
        <v>327</v>
      </c>
      <c r="F45" s="5" t="s">
        <v>328</v>
      </c>
      <c r="G45" s="5" t="s">
        <v>130</v>
      </c>
      <c r="H45" s="4" t="s">
        <v>34</v>
      </c>
      <c r="I45" s="5" t="s">
        <v>44</v>
      </c>
      <c r="J45" s="5"/>
    </row>
    <row r="46" customFormat="false" ht="18" hidden="false" customHeight="true" outlineLevel="0" collapsed="false">
      <c r="A46" s="2" t="n">
        <v>45</v>
      </c>
      <c r="B46" s="3" t="s">
        <v>329</v>
      </c>
      <c r="C46" s="3" t="s">
        <v>330</v>
      </c>
      <c r="D46" s="3" t="s">
        <v>331</v>
      </c>
      <c r="E46" s="3" t="s">
        <v>332</v>
      </c>
      <c r="F46" s="3" t="s">
        <v>333</v>
      </c>
      <c r="G46" s="3" t="s">
        <v>130</v>
      </c>
      <c r="H46" s="2" t="n">
        <v>3.7</v>
      </c>
      <c r="I46" s="3" t="s">
        <v>44</v>
      </c>
      <c r="J46" s="3"/>
    </row>
    <row r="47" customFormat="false" ht="18" hidden="false" customHeight="true" outlineLevel="0" collapsed="false">
      <c r="A47" s="4" t="n">
        <v>46</v>
      </c>
      <c r="B47" s="5" t="s">
        <v>334</v>
      </c>
      <c r="C47" s="5" t="s">
        <v>330</v>
      </c>
      <c r="D47" s="5" t="s">
        <v>335</v>
      </c>
      <c r="E47" s="5" t="s">
        <v>336</v>
      </c>
      <c r="F47" s="5" t="s">
        <v>337</v>
      </c>
      <c r="G47" s="5" t="s">
        <v>130</v>
      </c>
      <c r="H47" s="4" t="n">
        <v>4.5</v>
      </c>
      <c r="I47" s="5" t="s">
        <v>44</v>
      </c>
      <c r="J47" s="5"/>
    </row>
    <row r="48" customFormat="false" ht="18" hidden="false" customHeight="true" outlineLevel="0" collapsed="false">
      <c r="A48" s="2" t="n">
        <v>47</v>
      </c>
      <c r="B48" s="3" t="s">
        <v>338</v>
      </c>
      <c r="C48" s="3" t="s">
        <v>339</v>
      </c>
      <c r="D48" s="3" t="s">
        <v>340</v>
      </c>
      <c r="E48" s="3" t="s">
        <v>341</v>
      </c>
      <c r="F48" s="3" t="s">
        <v>342</v>
      </c>
      <c r="G48" s="3" t="s">
        <v>130</v>
      </c>
      <c r="H48" s="2" t="n">
        <v>4.4</v>
      </c>
      <c r="I48" s="3" t="s">
        <v>44</v>
      </c>
      <c r="J48" s="3"/>
    </row>
    <row r="49" customFormat="false" ht="18" hidden="false" customHeight="true" outlineLevel="0" collapsed="false">
      <c r="A49" s="4" t="n">
        <v>48</v>
      </c>
      <c r="B49" s="5" t="s">
        <v>343</v>
      </c>
      <c r="C49" s="5" t="s">
        <v>248</v>
      </c>
      <c r="D49" s="5" t="s">
        <v>344</v>
      </c>
      <c r="E49" s="5" t="s">
        <v>345</v>
      </c>
      <c r="F49" s="5" t="s">
        <v>346</v>
      </c>
      <c r="G49" s="5" t="s">
        <v>130</v>
      </c>
      <c r="H49" s="4" t="n">
        <v>4.9</v>
      </c>
      <c r="I49" s="5" t="s">
        <v>44</v>
      </c>
      <c r="J49" s="5"/>
    </row>
    <row r="50" customFormat="false" ht="18" hidden="false" customHeight="true" outlineLevel="0" collapsed="false">
      <c r="A50" s="2" t="n">
        <v>49</v>
      </c>
      <c r="B50" s="3" t="s">
        <v>347</v>
      </c>
      <c r="C50" s="3" t="s">
        <v>185</v>
      </c>
      <c r="D50" s="3" t="s">
        <v>348</v>
      </c>
      <c r="E50" s="3" t="s">
        <v>349</v>
      </c>
      <c r="F50" s="3" t="s">
        <v>350</v>
      </c>
      <c r="G50" s="3" t="s">
        <v>130</v>
      </c>
      <c r="H50" s="2" t="n">
        <v>4.8</v>
      </c>
      <c r="I50" s="3" t="s">
        <v>44</v>
      </c>
      <c r="J50" s="3"/>
    </row>
    <row r="51" customFormat="false" ht="18" hidden="false" customHeight="true" outlineLevel="0" collapsed="false">
      <c r="A51" s="4" t="n">
        <v>50</v>
      </c>
      <c r="B51" s="5" t="s">
        <v>351</v>
      </c>
      <c r="C51" s="5" t="s">
        <v>352</v>
      </c>
      <c r="D51" s="5" t="s">
        <v>353</v>
      </c>
      <c r="E51" s="5" t="s">
        <v>354</v>
      </c>
      <c r="F51" s="5" t="s">
        <v>355</v>
      </c>
      <c r="G51" s="5" t="s">
        <v>130</v>
      </c>
      <c r="H51" s="4" t="n">
        <v>3.7</v>
      </c>
      <c r="I51" s="5" t="s">
        <v>44</v>
      </c>
      <c r="J51" s="5"/>
    </row>
    <row r="52" customFormat="false" ht="18" hidden="false" customHeight="true" outlineLevel="0" collapsed="false">
      <c r="A52" s="2" t="n">
        <v>51</v>
      </c>
      <c r="B52" s="3" t="s">
        <v>356</v>
      </c>
      <c r="C52" s="3" t="s">
        <v>357</v>
      </c>
      <c r="D52" s="3" t="s">
        <v>358</v>
      </c>
      <c r="E52" s="3" t="s">
        <v>359</v>
      </c>
      <c r="F52" s="3" t="s">
        <v>360</v>
      </c>
      <c r="G52" s="3" t="s">
        <v>130</v>
      </c>
      <c r="H52" s="2" t="s">
        <v>34</v>
      </c>
      <c r="I52" s="3" t="s">
        <v>23</v>
      </c>
      <c r="J52" s="3"/>
    </row>
    <row r="53" customFormat="false" ht="18" hidden="false" customHeight="true" outlineLevel="0" collapsed="false">
      <c r="A53" s="4" t="n">
        <v>52</v>
      </c>
      <c r="B53" s="5" t="s">
        <v>361</v>
      </c>
      <c r="C53" s="5" t="s">
        <v>362</v>
      </c>
      <c r="D53" s="5" t="s">
        <v>363</v>
      </c>
      <c r="E53" s="5" t="s">
        <v>364</v>
      </c>
      <c r="F53" s="5" t="s">
        <v>365</v>
      </c>
      <c r="G53" s="5" t="s">
        <v>366</v>
      </c>
      <c r="H53" s="4" t="n">
        <v>3</v>
      </c>
      <c r="I53" s="5" t="s">
        <v>44</v>
      </c>
      <c r="J53" s="5"/>
    </row>
    <row r="54" customFormat="false" ht="18" hidden="false" customHeight="true" outlineLevel="0" collapsed="false">
      <c r="A54" s="2" t="n">
        <v>53</v>
      </c>
      <c r="B54" s="3" t="s">
        <v>367</v>
      </c>
      <c r="C54" s="3" t="s">
        <v>185</v>
      </c>
      <c r="D54" s="3" t="s">
        <v>368</v>
      </c>
      <c r="E54" s="3" t="s">
        <v>369</v>
      </c>
      <c r="F54" s="3" t="s">
        <v>370</v>
      </c>
      <c r="G54" s="3" t="s">
        <v>130</v>
      </c>
      <c r="H54" s="2" t="n">
        <v>5</v>
      </c>
      <c r="I54" s="3" t="s">
        <v>44</v>
      </c>
      <c r="J54" s="3"/>
    </row>
    <row r="55" customFormat="false" ht="18" hidden="false" customHeight="true" outlineLevel="0" collapsed="false">
      <c r="A55" s="4" t="n">
        <v>54</v>
      </c>
      <c r="B55" s="5" t="s">
        <v>371</v>
      </c>
      <c r="C55" s="5" t="s">
        <v>208</v>
      </c>
      <c r="D55" s="5" t="s">
        <v>372</v>
      </c>
      <c r="E55" s="5" t="s">
        <v>373</v>
      </c>
      <c r="F55" s="5" t="s">
        <v>374</v>
      </c>
      <c r="G55" s="5" t="s">
        <v>130</v>
      </c>
      <c r="H55" s="4" t="n">
        <v>5</v>
      </c>
      <c r="I55" s="5" t="s">
        <v>44</v>
      </c>
      <c r="J55" s="5"/>
    </row>
    <row r="56" customFormat="false" ht="18" hidden="false" customHeight="true" outlineLevel="0" collapsed="false">
      <c r="A56" s="2" t="n">
        <v>55</v>
      </c>
      <c r="B56" s="3" t="s">
        <v>375</v>
      </c>
      <c r="C56" s="3" t="s">
        <v>376</v>
      </c>
      <c r="D56" s="3" t="s">
        <v>377</v>
      </c>
      <c r="E56" s="3" t="s">
        <v>378</v>
      </c>
      <c r="F56" s="3" t="s">
        <v>379</v>
      </c>
      <c r="G56" s="3" t="s">
        <v>130</v>
      </c>
      <c r="H56" s="2" t="n">
        <v>5</v>
      </c>
      <c r="I56" s="3" t="s">
        <v>44</v>
      </c>
      <c r="J56" s="3"/>
    </row>
    <row r="57" customFormat="false" ht="18" hidden="false" customHeight="true" outlineLevel="0" collapsed="false">
      <c r="A57" s="4" t="n">
        <v>56</v>
      </c>
      <c r="B57" s="5" t="s">
        <v>380</v>
      </c>
      <c r="C57" s="5" t="s">
        <v>381</v>
      </c>
      <c r="D57" s="5" t="s">
        <v>382</v>
      </c>
      <c r="E57" s="5" t="s">
        <v>383</v>
      </c>
      <c r="F57" s="5" t="s">
        <v>384</v>
      </c>
      <c r="G57" s="5" t="s">
        <v>130</v>
      </c>
      <c r="H57" s="4" t="s">
        <v>34</v>
      </c>
      <c r="I57" s="5" t="s">
        <v>44</v>
      </c>
      <c r="J57" s="5"/>
    </row>
    <row r="58" customFormat="false" ht="18" hidden="false" customHeight="true" outlineLevel="0" collapsed="false">
      <c r="A58" s="2" t="n">
        <v>57</v>
      </c>
      <c r="B58" s="3" t="s">
        <v>385</v>
      </c>
      <c r="C58" s="3" t="s">
        <v>362</v>
      </c>
      <c r="D58" s="3" t="s">
        <v>386</v>
      </c>
      <c r="E58" s="3" t="s">
        <v>387</v>
      </c>
      <c r="F58" s="3" t="s">
        <v>388</v>
      </c>
      <c r="G58" s="3" t="s">
        <v>130</v>
      </c>
      <c r="H58" s="2" t="n">
        <v>4.3</v>
      </c>
      <c r="I58" s="3" t="s">
        <v>44</v>
      </c>
      <c r="J58" s="3"/>
    </row>
    <row r="59" customFormat="false" ht="15" hidden="false" customHeight="false" outlineLevel="0" collapsed="false">
      <c r="A59" s="2" t="n">
        <v>58</v>
      </c>
      <c r="B59" s="3" t="s">
        <v>389</v>
      </c>
      <c r="C59" s="3" t="s">
        <v>180</v>
      </c>
      <c r="D59" s="3" t="s">
        <v>390</v>
      </c>
      <c r="E59" s="3" t="s">
        <v>391</v>
      </c>
      <c r="F59" s="3" t="s">
        <v>392</v>
      </c>
      <c r="G59" s="3" t="s">
        <v>130</v>
      </c>
      <c r="H59" s="2" t="s">
        <v>34</v>
      </c>
      <c r="I59" s="3" t="s">
        <v>44</v>
      </c>
      <c r="J59" s="3"/>
    </row>
    <row r="60" customFormat="false" ht="15" hidden="false" customHeight="false" outlineLevel="0" collapsed="false">
      <c r="A60" s="2" t="n">
        <v>59</v>
      </c>
      <c r="B60" s="3" t="s">
        <v>393</v>
      </c>
      <c r="C60" s="3" t="s">
        <v>180</v>
      </c>
      <c r="D60" s="3" t="s">
        <v>394</v>
      </c>
      <c r="E60" s="3" t="s">
        <v>395</v>
      </c>
      <c r="F60" s="3" t="s">
        <v>396</v>
      </c>
      <c r="G60" s="3" t="s">
        <v>130</v>
      </c>
      <c r="H60" s="2" t="s">
        <v>34</v>
      </c>
      <c r="I60" s="3" t="s">
        <v>44</v>
      </c>
      <c r="J60" s="3"/>
    </row>
    <row r="61" customFormat="false" ht="22.35" hidden="false" customHeight="false" outlineLevel="0" collapsed="false">
      <c r="A61" s="2" t="n">
        <v>60</v>
      </c>
      <c r="B61" s="3" t="s">
        <v>397</v>
      </c>
      <c r="C61" s="3" t="s">
        <v>180</v>
      </c>
      <c r="D61" s="3" t="s">
        <v>398</v>
      </c>
      <c r="E61" s="3" t="s">
        <v>391</v>
      </c>
      <c r="F61" s="3" t="s">
        <v>399</v>
      </c>
      <c r="G61" s="3" t="s">
        <v>130</v>
      </c>
      <c r="H61" s="2" t="s">
        <v>34</v>
      </c>
      <c r="I61" s="3" t="s">
        <v>44</v>
      </c>
      <c r="J61" s="3"/>
    </row>
    <row r="62" customFormat="false" ht="15" hidden="false" customHeight="false" outlineLevel="0" collapsed="false">
      <c r="A62" s="2" t="n">
        <v>61</v>
      </c>
      <c r="B62" s="3" t="s">
        <v>400</v>
      </c>
      <c r="C62" s="3" t="s">
        <v>180</v>
      </c>
      <c r="D62" s="3" t="s">
        <v>401</v>
      </c>
      <c r="E62" s="3" t="s">
        <v>402</v>
      </c>
      <c r="F62" s="3" t="s">
        <v>403</v>
      </c>
      <c r="G62" s="3" t="s">
        <v>130</v>
      </c>
      <c r="H62" s="2" t="s">
        <v>34</v>
      </c>
      <c r="I62" s="3" t="s">
        <v>44</v>
      </c>
      <c r="J62" s="3"/>
    </row>
    <row r="63" customFormat="false" ht="15" hidden="false" customHeight="false" outlineLevel="0" collapsed="false">
      <c r="A63" s="2" t="n">
        <v>62</v>
      </c>
      <c r="B63" s="3" t="s">
        <v>404</v>
      </c>
      <c r="C63" s="3" t="s">
        <v>180</v>
      </c>
      <c r="D63" s="3" t="s">
        <v>405</v>
      </c>
      <c r="E63" s="3" t="s">
        <v>391</v>
      </c>
      <c r="F63" s="3" t="s">
        <v>406</v>
      </c>
      <c r="G63" s="3" t="s">
        <v>130</v>
      </c>
      <c r="H63" s="2" t="s">
        <v>34</v>
      </c>
      <c r="I63" s="3" t="s">
        <v>44</v>
      </c>
      <c r="J63" s="3"/>
    </row>
    <row r="64" customFormat="false" ht="15" hidden="false" customHeight="false" outlineLevel="0" collapsed="false">
      <c r="A64" s="2" t="n">
        <v>63</v>
      </c>
      <c r="B64" s="3" t="s">
        <v>407</v>
      </c>
      <c r="C64" s="3" t="s">
        <v>180</v>
      </c>
      <c r="D64" s="3" t="s">
        <v>408</v>
      </c>
      <c r="E64" s="3" t="s">
        <v>409</v>
      </c>
      <c r="F64" s="3" t="s">
        <v>410</v>
      </c>
      <c r="G64" s="3" t="s">
        <v>130</v>
      </c>
      <c r="H64" s="2" t="s">
        <v>34</v>
      </c>
      <c r="I64" s="3" t="s">
        <v>44</v>
      </c>
      <c r="J64" s="3"/>
    </row>
    <row r="65" customFormat="false" ht="15" hidden="false" customHeight="false" outlineLevel="0" collapsed="false">
      <c r="A65" s="2" t="n">
        <v>64</v>
      </c>
      <c r="B65" s="3" t="s">
        <v>411</v>
      </c>
      <c r="C65" s="3" t="s">
        <v>180</v>
      </c>
      <c r="D65" s="3" t="s">
        <v>412</v>
      </c>
      <c r="E65" s="3" t="s">
        <v>391</v>
      </c>
      <c r="F65" s="3" t="s">
        <v>228</v>
      </c>
      <c r="G65" s="3" t="s">
        <v>130</v>
      </c>
      <c r="H65" s="2" t="s">
        <v>34</v>
      </c>
      <c r="I65" s="3" t="s">
        <v>44</v>
      </c>
      <c r="J65" s="3"/>
    </row>
    <row r="66" customFormat="false" ht="15" hidden="false" customHeight="false" outlineLevel="0" collapsed="false">
      <c r="A66" s="2" t="n">
        <v>65</v>
      </c>
      <c r="B66" s="3" t="s">
        <v>418</v>
      </c>
      <c r="C66" s="3" t="s">
        <v>156</v>
      </c>
      <c r="D66" s="3" t="s">
        <v>419</v>
      </c>
      <c r="E66" s="3" t="s">
        <v>391</v>
      </c>
      <c r="F66" s="3" t="s">
        <v>420</v>
      </c>
      <c r="G66" s="3" t="s">
        <v>130</v>
      </c>
      <c r="H66" s="2" t="s">
        <v>34</v>
      </c>
      <c r="I66" s="3" t="s">
        <v>44</v>
      </c>
      <c r="J66" s="3"/>
    </row>
    <row r="67" customFormat="false" ht="15" hidden="false" customHeight="false" outlineLevel="0" collapsed="false">
      <c r="A67" s="2" t="n">
        <v>66</v>
      </c>
      <c r="B67" s="3" t="s">
        <v>421</v>
      </c>
      <c r="C67" s="3" t="s">
        <v>128</v>
      </c>
      <c r="D67" s="3" t="s">
        <v>422</v>
      </c>
      <c r="E67" s="3" t="s">
        <v>423</v>
      </c>
      <c r="F67" s="3" t="s">
        <v>391</v>
      </c>
      <c r="G67" s="3" t="s">
        <v>130</v>
      </c>
      <c r="H67" s="2" t="s">
        <v>34</v>
      </c>
      <c r="I67" s="3" t="s">
        <v>44</v>
      </c>
      <c r="J67" s="3"/>
    </row>
    <row r="68" customFormat="false" ht="15" hidden="false" customHeight="false" outlineLevel="0" collapsed="false">
      <c r="A68" s="2" t="n">
        <v>67</v>
      </c>
      <c r="B68" s="3" t="s">
        <v>424</v>
      </c>
      <c r="C68" s="3" t="s">
        <v>128</v>
      </c>
      <c r="D68" s="3" t="s">
        <v>425</v>
      </c>
      <c r="E68" s="3" t="s">
        <v>426</v>
      </c>
      <c r="F68" s="3" t="s">
        <v>391</v>
      </c>
      <c r="G68" s="3" t="s">
        <v>130</v>
      </c>
      <c r="H68" s="2" t="s">
        <v>34</v>
      </c>
      <c r="I68" s="3" t="s">
        <v>44</v>
      </c>
      <c r="J68" s="3"/>
    </row>
    <row r="69" customFormat="false" ht="15" hidden="false" customHeight="false" outlineLevel="0" collapsed="false">
      <c r="A69" s="2" t="n">
        <v>68</v>
      </c>
      <c r="B69" s="3" t="s">
        <v>427</v>
      </c>
      <c r="C69" s="3" t="s">
        <v>128</v>
      </c>
      <c r="D69" s="3" t="s">
        <v>428</v>
      </c>
      <c r="E69" s="3" t="s">
        <v>429</v>
      </c>
      <c r="F69" s="3" t="s">
        <v>391</v>
      </c>
      <c r="G69" s="3" t="s">
        <v>130</v>
      </c>
      <c r="H69" s="2" t="s">
        <v>34</v>
      </c>
      <c r="I69" s="3" t="s">
        <v>44</v>
      </c>
      <c r="J69" s="3"/>
    </row>
    <row r="70" customFormat="false" ht="15" hidden="false" customHeight="false" outlineLevel="0" collapsed="false">
      <c r="A70" s="2" t="n">
        <v>69</v>
      </c>
      <c r="B70" s="3" t="s">
        <v>430</v>
      </c>
      <c r="C70" s="3" t="s">
        <v>128</v>
      </c>
      <c r="D70" s="3" t="s">
        <v>431</v>
      </c>
      <c r="E70" s="3" t="s">
        <v>432</v>
      </c>
      <c r="F70" s="3" t="s">
        <v>433</v>
      </c>
      <c r="G70" s="3" t="s">
        <v>130</v>
      </c>
      <c r="H70" s="2" t="s">
        <v>34</v>
      </c>
      <c r="I70" s="3" t="s">
        <v>417</v>
      </c>
      <c r="J70" s="3"/>
    </row>
    <row r="71" customFormat="false" ht="15" hidden="false" customHeight="false" outlineLevel="0" collapsed="false">
      <c r="A71" s="2" t="n">
        <v>70</v>
      </c>
      <c r="B71" s="3" t="s">
        <v>434</v>
      </c>
      <c r="C71" s="3" t="s">
        <v>128</v>
      </c>
      <c r="D71" s="3" t="s">
        <v>435</v>
      </c>
      <c r="E71" s="3" t="s">
        <v>436</v>
      </c>
      <c r="F71" s="3" t="s">
        <v>391</v>
      </c>
      <c r="G71" s="3" t="s">
        <v>130</v>
      </c>
      <c r="H71" s="2" t="s">
        <v>34</v>
      </c>
      <c r="I71" s="3" t="s">
        <v>44</v>
      </c>
      <c r="J71" s="3"/>
    </row>
    <row r="72" customFormat="false" ht="15" hidden="false" customHeight="false" outlineLevel="0" collapsed="false">
      <c r="A72" s="2" t="n">
        <v>71</v>
      </c>
      <c r="B72" s="3" t="s">
        <v>437</v>
      </c>
      <c r="C72" s="3" t="s">
        <v>185</v>
      </c>
      <c r="D72" s="3" t="s">
        <v>438</v>
      </c>
      <c r="E72" s="3" t="s">
        <v>439</v>
      </c>
      <c r="F72" s="3" t="s">
        <v>440</v>
      </c>
      <c r="G72" s="3" t="s">
        <v>130</v>
      </c>
      <c r="H72" s="2" t="s">
        <v>34</v>
      </c>
      <c r="I72" s="3" t="s">
        <v>44</v>
      </c>
      <c r="J72" s="3"/>
    </row>
    <row r="73" customFormat="false" ht="15" hidden="false" customHeight="false" outlineLevel="0" collapsed="false">
      <c r="A73" s="2" t="n">
        <v>72</v>
      </c>
      <c r="B73" s="3" t="s">
        <v>441</v>
      </c>
      <c r="C73" s="3" t="s">
        <v>185</v>
      </c>
      <c r="D73" s="3" t="s">
        <v>442</v>
      </c>
      <c r="E73" s="3" t="s">
        <v>443</v>
      </c>
      <c r="F73" s="3" t="s">
        <v>444</v>
      </c>
      <c r="G73" s="3" t="s">
        <v>130</v>
      </c>
      <c r="H73" s="2" t="s">
        <v>34</v>
      </c>
      <c r="I73" s="3" t="s">
        <v>44</v>
      </c>
      <c r="J73" s="3"/>
    </row>
    <row r="74" customFormat="false" ht="15" hidden="false" customHeight="false" outlineLevel="0" collapsed="false">
      <c r="A74" s="2" t="n">
        <v>73</v>
      </c>
      <c r="B74" s="3" t="s">
        <v>445</v>
      </c>
      <c r="C74" s="3" t="s">
        <v>185</v>
      </c>
      <c r="D74" s="3" t="s">
        <v>446</v>
      </c>
      <c r="E74" s="3" t="s">
        <v>391</v>
      </c>
      <c r="F74" s="3" t="s">
        <v>447</v>
      </c>
      <c r="G74" s="3" t="s">
        <v>130</v>
      </c>
      <c r="H74" s="2" t="s">
        <v>34</v>
      </c>
      <c r="I74" s="3" t="s">
        <v>44</v>
      </c>
      <c r="J74" s="3"/>
    </row>
    <row r="75" customFormat="false" ht="15" hidden="false" customHeight="false" outlineLevel="0" collapsed="false">
      <c r="A75" s="2" t="n">
        <v>74</v>
      </c>
      <c r="B75" s="3" t="s">
        <v>448</v>
      </c>
      <c r="C75" s="3" t="s">
        <v>185</v>
      </c>
      <c r="D75" s="3" t="s">
        <v>84</v>
      </c>
      <c r="E75" s="3" t="s">
        <v>449</v>
      </c>
      <c r="F75" s="3" t="s">
        <v>85</v>
      </c>
      <c r="G75" s="3" t="s">
        <v>130</v>
      </c>
      <c r="H75" s="2" t="s">
        <v>34</v>
      </c>
      <c r="I75" s="3" t="s">
        <v>44</v>
      </c>
      <c r="J75" s="3"/>
    </row>
    <row r="76" customFormat="false" ht="15" hidden="false" customHeight="false" outlineLevel="0" collapsed="false">
      <c r="A76" s="2" t="n">
        <v>75</v>
      </c>
      <c r="B76" s="3" t="s">
        <v>450</v>
      </c>
      <c r="C76" s="3" t="s">
        <v>362</v>
      </c>
      <c r="D76" s="3" t="s">
        <v>451</v>
      </c>
      <c r="E76" s="3" t="s">
        <v>391</v>
      </c>
      <c r="F76" s="3" t="s">
        <v>452</v>
      </c>
      <c r="G76" s="3" t="s">
        <v>130</v>
      </c>
      <c r="H76" s="2" t="s">
        <v>34</v>
      </c>
      <c r="I76" s="3" t="s">
        <v>44</v>
      </c>
      <c r="J76" s="3"/>
    </row>
    <row r="77" customFormat="false" ht="15" hidden="false" customHeight="false" outlineLevel="0" collapsed="false">
      <c r="A77" s="2" t="n">
        <v>76</v>
      </c>
      <c r="B77" s="3" t="s">
        <v>462</v>
      </c>
      <c r="C77" s="3" t="s">
        <v>463</v>
      </c>
      <c r="D77" s="3" t="s">
        <v>464</v>
      </c>
      <c r="E77" s="3" t="s">
        <v>391</v>
      </c>
      <c r="F77" s="3" t="s">
        <v>465</v>
      </c>
      <c r="G77" s="3" t="s">
        <v>130</v>
      </c>
      <c r="H77" s="2" t="s">
        <v>34</v>
      </c>
      <c r="I77" s="3" t="s">
        <v>44</v>
      </c>
      <c r="J77" s="3"/>
    </row>
    <row r="78" customFormat="false" ht="15" hidden="false" customHeight="false" outlineLevel="0" collapsed="false">
      <c r="A78" s="2" t="n">
        <v>77</v>
      </c>
      <c r="B78" s="3" t="s">
        <v>466</v>
      </c>
      <c r="C78" s="3" t="s">
        <v>463</v>
      </c>
      <c r="D78" s="3" t="s">
        <v>467</v>
      </c>
      <c r="E78" s="3" t="s">
        <v>391</v>
      </c>
      <c r="F78" s="3" t="s">
        <v>468</v>
      </c>
      <c r="G78" s="3" t="s">
        <v>130</v>
      </c>
      <c r="H78" s="2" t="s">
        <v>34</v>
      </c>
      <c r="I78" s="3" t="s">
        <v>44</v>
      </c>
      <c r="J78" s="3"/>
    </row>
    <row r="79" customFormat="false" ht="15" hidden="false" customHeight="false" outlineLevel="0" collapsed="false">
      <c r="A79" s="2" t="n">
        <v>78</v>
      </c>
      <c r="B79" s="3" t="s">
        <v>469</v>
      </c>
      <c r="C79" s="3" t="s">
        <v>463</v>
      </c>
      <c r="D79" s="3" t="s">
        <v>470</v>
      </c>
      <c r="E79" s="3" t="s">
        <v>391</v>
      </c>
      <c r="F79" s="3" t="s">
        <v>471</v>
      </c>
      <c r="G79" s="3" t="s">
        <v>130</v>
      </c>
      <c r="H79" s="2" t="s">
        <v>34</v>
      </c>
      <c r="I79" s="3" t="s">
        <v>44</v>
      </c>
      <c r="J79" s="3"/>
    </row>
    <row r="80" customFormat="false" ht="15" hidden="false" customHeight="false" outlineLevel="0" collapsed="false">
      <c r="A80" s="2" t="n">
        <v>79</v>
      </c>
      <c r="B80" s="3" t="s">
        <v>472</v>
      </c>
      <c r="C80" s="3" t="s">
        <v>463</v>
      </c>
      <c r="D80" s="3" t="s">
        <v>473</v>
      </c>
      <c r="E80" s="3" t="s">
        <v>391</v>
      </c>
      <c r="F80" s="3" t="s">
        <v>474</v>
      </c>
      <c r="G80" s="3" t="s">
        <v>130</v>
      </c>
      <c r="H80" s="2" t="s">
        <v>34</v>
      </c>
      <c r="I80" s="3" t="s">
        <v>44</v>
      </c>
      <c r="J80" s="3"/>
    </row>
    <row r="81" customFormat="false" ht="15" hidden="false" customHeight="false" outlineLevel="0" collapsed="false">
      <c r="A81" s="2" t="n">
        <v>80</v>
      </c>
      <c r="B81" s="3" t="s">
        <v>475</v>
      </c>
      <c r="C81" s="3" t="s">
        <v>463</v>
      </c>
      <c r="D81" s="3" t="s">
        <v>476</v>
      </c>
      <c r="E81" s="3" t="s">
        <v>391</v>
      </c>
      <c r="F81" s="3" t="s">
        <v>477</v>
      </c>
      <c r="G81" s="3" t="s">
        <v>130</v>
      </c>
      <c r="H81" s="2" t="s">
        <v>34</v>
      </c>
      <c r="I81" s="3" t="s">
        <v>44</v>
      </c>
      <c r="J81" s="3"/>
    </row>
    <row r="82" customFormat="false" ht="15" hidden="false" customHeight="false" outlineLevel="0" collapsed="false">
      <c r="A82" s="2" t="n">
        <v>81</v>
      </c>
      <c r="B82" s="3" t="s">
        <v>478</v>
      </c>
      <c r="C82" s="3" t="s">
        <v>479</v>
      </c>
      <c r="D82" s="3" t="s">
        <v>480</v>
      </c>
      <c r="E82" s="3" t="s">
        <v>391</v>
      </c>
      <c r="F82" s="3" t="s">
        <v>481</v>
      </c>
      <c r="G82" s="3" t="s">
        <v>130</v>
      </c>
      <c r="H82" s="2" t="s">
        <v>34</v>
      </c>
      <c r="I82" s="3" t="s">
        <v>44</v>
      </c>
      <c r="J82" s="3"/>
    </row>
    <row r="83" customFormat="false" ht="15" hidden="false" customHeight="false" outlineLevel="0" collapsed="false">
      <c r="A83" s="2" t="n">
        <v>82</v>
      </c>
      <c r="B83" s="3" t="s">
        <v>482</v>
      </c>
      <c r="C83" s="3" t="s">
        <v>483</v>
      </c>
      <c r="D83" s="3" t="s">
        <v>484</v>
      </c>
      <c r="E83" s="3" t="s">
        <v>391</v>
      </c>
      <c r="F83" s="3" t="s">
        <v>485</v>
      </c>
      <c r="G83" s="3" t="s">
        <v>130</v>
      </c>
      <c r="H83" s="2" t="s">
        <v>34</v>
      </c>
      <c r="I83" s="3" t="s">
        <v>23</v>
      </c>
      <c r="J83" s="3"/>
    </row>
    <row r="84" customFormat="false" ht="15" hidden="false" customHeight="false" outlineLevel="0" collapsed="false">
      <c r="A84" s="2" t="n">
        <v>83</v>
      </c>
      <c r="B84" s="3" t="s">
        <v>486</v>
      </c>
      <c r="C84" s="3" t="s">
        <v>487</v>
      </c>
      <c r="D84" s="3" t="s">
        <v>488</v>
      </c>
      <c r="E84" s="3" t="s">
        <v>391</v>
      </c>
      <c r="F84" s="3" t="s">
        <v>489</v>
      </c>
      <c r="G84" s="3" t="s">
        <v>130</v>
      </c>
      <c r="H84" s="2" t="s">
        <v>34</v>
      </c>
      <c r="I84" s="3" t="s">
        <v>23</v>
      </c>
      <c r="J84" s="3"/>
    </row>
    <row r="85" customFormat="false" ht="15" hidden="false" customHeight="false" outlineLevel="0" collapsed="false">
      <c r="A85" s="2" t="n">
        <v>84</v>
      </c>
      <c r="B85" s="3" t="s">
        <v>490</v>
      </c>
      <c r="C85" s="3" t="s">
        <v>339</v>
      </c>
      <c r="D85" s="3" t="s">
        <v>491</v>
      </c>
      <c r="E85" s="3" t="s">
        <v>391</v>
      </c>
      <c r="F85" s="3" t="s">
        <v>492</v>
      </c>
      <c r="G85" s="3" t="s">
        <v>130</v>
      </c>
      <c r="H85" s="2" t="s">
        <v>34</v>
      </c>
      <c r="I85" s="3" t="s">
        <v>23</v>
      </c>
      <c r="J8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27.75" hidden="false" customHeight="true" outlineLevel="0" collapsed="false">
      <c r="A1" s="8" t="s">
        <v>493</v>
      </c>
      <c r="B1" s="9"/>
    </row>
    <row r="2" customFormat="false" ht="13.5" hidden="false" customHeight="true" outlineLevel="0" collapsed="false">
      <c r="A2" s="10" t="s">
        <v>494</v>
      </c>
      <c r="B2" s="9"/>
    </row>
    <row r="3" customFormat="false" ht="6" hidden="false" customHeight="true" outlineLevel="0" collapsed="false">
      <c r="A3" s="9"/>
      <c r="B3" s="9"/>
    </row>
    <row r="4" customFormat="false" ht="19.5" hidden="false" customHeight="true" outlineLevel="0" collapsed="false">
      <c r="A4" s="11" t="s">
        <v>495</v>
      </c>
      <c r="B4" s="12"/>
    </row>
    <row r="5" customFormat="false" ht="18" hidden="false" customHeight="true" outlineLevel="0" collapsed="false">
      <c r="A5" s="13" t="s">
        <v>496</v>
      </c>
      <c r="B5" s="14" t="n">
        <f aca="false">COUNTIF('All Leads'!I:I,"Active Deal 🤝")</f>
        <v>1</v>
      </c>
    </row>
    <row r="6" customFormat="false" ht="18" hidden="false" customHeight="true" outlineLevel="0" collapsed="false">
      <c r="A6" s="15" t="s">
        <v>497</v>
      </c>
      <c r="B6" s="16" t="n">
        <f aca="false">COUNTIF('All Leads'!I:I,"Replied 💬")</f>
        <v>2</v>
      </c>
    </row>
    <row r="7" customFormat="false" ht="18" hidden="false" customHeight="true" outlineLevel="0" collapsed="false">
      <c r="A7" s="13" t="s">
        <v>498</v>
      </c>
      <c r="B7" s="14" t="n">
        <f aca="false">COUNTIF('All Leads'!I:I,"Sent 📤")</f>
        <v>39</v>
      </c>
    </row>
    <row r="8" customFormat="false" ht="18" hidden="false" customHeight="true" outlineLevel="0" collapsed="false">
      <c r="A8" s="15" t="s">
        <v>499</v>
      </c>
      <c r="B8" s="16" t="n">
        <f aca="false">COUNTIF('All Leads'!I:I,"Draft Ready 📝")</f>
        <v>0</v>
      </c>
    </row>
    <row r="9" customFormat="false" ht="18" hidden="false" customHeight="true" outlineLevel="0" collapsed="false">
      <c r="A9" s="13" t="s">
        <v>500</v>
      </c>
      <c r="B9" s="14" t="n">
        <f aca="false">COUNTIF('All Leads'!I:I,"Not Contacted")</f>
        <v>69</v>
      </c>
    </row>
    <row r="10" customFormat="false" ht="19.5" hidden="false" customHeight="true" outlineLevel="0" collapsed="false">
      <c r="A10" s="17" t="s">
        <v>501</v>
      </c>
      <c r="B10" s="18" t="n">
        <f aca="false">COUNTA('All Leads'!A:A)-1</f>
        <v>111</v>
      </c>
    </row>
    <row r="11" customFormat="false" ht="19.5" hidden="false" customHeight="true" outlineLevel="0" collapsed="false">
      <c r="A11" s="19" t="s">
        <v>502</v>
      </c>
      <c r="B11" s="20" t="n">
        <f aca="false">COUNTIF('All Leads'!I:I,"Active Deal 🤝")+COUNTIF('All Leads'!I:I,"Replied 💬")+COUNTIF('All Leads'!I:I,"Sent 📤")+COUNTIF('All Leads'!I:I,"Draft Ready 📝")</f>
        <v>42</v>
      </c>
    </row>
    <row r="12" customFormat="false" ht="7.5" hidden="false" customHeight="true" outlineLevel="0" collapsed="false">
      <c r="A12" s="9"/>
      <c r="B12" s="9"/>
    </row>
    <row r="13" customFormat="false" ht="19.5" hidden="false" customHeight="true" outlineLevel="0" collapsed="false">
      <c r="A13" s="11" t="s">
        <v>503</v>
      </c>
      <c r="B13" s="12"/>
    </row>
    <row r="14" customFormat="false" ht="18" hidden="false" customHeight="true" outlineLevel="0" collapsed="false">
      <c r="A14" s="13" t="s">
        <v>15</v>
      </c>
      <c r="B14" s="14" t="n">
        <f aca="false">COUNTIF('All Leads'!G:G,"Kitwe")</f>
        <v>27</v>
      </c>
    </row>
    <row r="15" customFormat="false" ht="18" hidden="false" customHeight="true" outlineLevel="0" collapsed="false">
      <c r="A15" s="15" t="s">
        <v>130</v>
      </c>
      <c r="B15" s="16" t="n">
        <f aca="false">COUNTIF('All Leads'!G:G,"Lusaka")</f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2026-03-24T12:09:31Z</dcterms:created>
  <dc:creator>openpyxl</dc:creator>
  <dc:description/>
  <dc:language>en-US</dc:language>
  <cp:lastModifiedBy/>
  <dcterms:modified xsi:type="dcterms:W3CDTF">2026-04-02T21:01:03Z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